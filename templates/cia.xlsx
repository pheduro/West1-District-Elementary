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drawings/drawing2.xml" ContentType="application/vnd.openxmlformats-officedocument.drawing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drawings/drawing3.xml" ContentType="application/vnd.openxmlformats-officedocument.drawing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drawings/drawing4.xml" ContentType="application/vnd.openxmlformats-officedocument.drawing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drawings/drawing5.xml" ContentType="application/vnd.openxmlformats-officedocument.drawing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drawings/drawing6.xml" ContentType="application/vnd.openxmlformats-officedocument.drawing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ladiHel\Downloads\West 1 Monitoring Checkilst\"/>
    </mc:Choice>
  </mc:AlternateContent>
  <xr:revisionPtr revIDLastSave="0" documentId="13_ncr:1_{4F920CCC-26ED-4B2C-8386-A1B4F8E44F5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MAGUIKAY ES" sheetId="1" r:id="rId1"/>
    <sheet name="CABANCALAN I ES" sheetId="7" r:id="rId2"/>
    <sheet name="TABOK ES 1" sheetId="8" r:id="rId3"/>
    <sheet name="TABOK ES II" sheetId="9" r:id="rId4"/>
    <sheet name="BAKILID ES" sheetId="10" r:id="rId5"/>
    <sheet name="TINGUB ES" sheetId="11" r:id="rId6"/>
    <sheet name="SUMMARY" sheetId="12" r:id="rId7"/>
  </sheets>
  <definedNames>
    <definedName name="_xlnm.Print_Area" localSheetId="4">'BAKILID ES'!$A$1:$D$88</definedName>
    <definedName name="_xlnm.Print_Area" localSheetId="1">'CABANCALAN I ES'!$A$1:$D$88</definedName>
    <definedName name="_xlnm.Print_Area" localSheetId="0">'MAGUIKAY ES'!$A$1:$D$88</definedName>
    <definedName name="_xlnm.Print_Area" localSheetId="6">SUMMARY!$A$1:$D$25</definedName>
    <definedName name="_xlnm.Print_Area" localSheetId="2">'TABOK ES 1'!$A$1:$D$88</definedName>
    <definedName name="_xlnm.Print_Area" localSheetId="3">'TABOK ES II'!$A$1:$D$88</definedName>
    <definedName name="_xlnm.Print_Area" localSheetId="5">'TINGUB ES'!$A$1:$D$88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12" l="1"/>
  <c r="M20" i="12"/>
  <c r="T20" i="12"/>
  <c r="AA20" i="12"/>
  <c r="F20" i="12"/>
  <c r="BJ19" i="12"/>
  <c r="BJ18" i="12"/>
  <c r="BJ17" i="12"/>
  <c r="BJ16" i="12"/>
  <c r="BJ15" i="12"/>
  <c r="BH18" i="12"/>
  <c r="BG18" i="12"/>
  <c r="BF19" i="12"/>
  <c r="BF16" i="12"/>
  <c r="BJ13" i="12"/>
  <c r="BI13" i="12"/>
  <c r="BH13" i="12"/>
  <c r="BG13" i="12"/>
  <c r="BF13" i="12"/>
  <c r="BF12" i="12"/>
  <c r="BC19" i="12"/>
  <c r="BB19" i="12"/>
  <c r="BB18" i="12"/>
  <c r="AZ18" i="12"/>
  <c r="AY19" i="12"/>
  <c r="AY18" i="12"/>
  <c r="BC13" i="12"/>
  <c r="BB13" i="12"/>
  <c r="BA13" i="12"/>
  <c r="AZ13" i="12"/>
  <c r="AY13" i="12"/>
  <c r="AY12" i="12"/>
  <c r="AV19" i="12"/>
  <c r="AV18" i="12"/>
  <c r="AV15" i="12"/>
  <c r="AU19" i="12"/>
  <c r="AT19" i="12"/>
  <c r="AT18" i="12"/>
  <c r="AR18" i="12"/>
  <c r="AV13" i="12"/>
  <c r="AU13" i="12"/>
  <c r="AT13" i="12"/>
  <c r="AS13" i="12"/>
  <c r="AR13" i="12"/>
  <c r="AR12" i="12"/>
  <c r="AO19" i="12"/>
  <c r="AO18" i="12"/>
  <c r="AO13" i="12"/>
  <c r="AN19" i="12"/>
  <c r="AM19" i="12"/>
  <c r="AN13" i="12"/>
  <c r="AM13" i="12"/>
  <c r="AL13" i="12"/>
  <c r="AK13" i="12"/>
  <c r="AK12" i="12"/>
  <c r="AG13" i="12"/>
  <c r="AF13" i="12"/>
  <c r="AE13" i="12"/>
  <c r="AD13" i="12"/>
  <c r="AD12" i="12"/>
  <c r="Z13" i="12"/>
  <c r="Y13" i="12"/>
  <c r="X13" i="12"/>
  <c r="W13" i="12"/>
  <c r="W12" i="12"/>
  <c r="S13" i="12"/>
  <c r="R13" i="12"/>
  <c r="Q13" i="12"/>
  <c r="P13" i="12"/>
  <c r="L13" i="12"/>
  <c r="K13" i="12"/>
  <c r="J13" i="12"/>
  <c r="I13" i="12"/>
  <c r="P12" i="12"/>
  <c r="I12" i="12"/>
  <c r="B12" i="12"/>
  <c r="AD76" i="11"/>
  <c r="AH76" i="11" s="1"/>
  <c r="AC76" i="11"/>
  <c r="AE76" i="11" s="1"/>
  <c r="AD75" i="11"/>
  <c r="AH75" i="11" s="1"/>
  <c r="AC75" i="11"/>
  <c r="AE75" i="11" s="1"/>
  <c r="AD74" i="11"/>
  <c r="AH74" i="11" s="1"/>
  <c r="AC74" i="11"/>
  <c r="AE74" i="11" s="1"/>
  <c r="AD73" i="11"/>
  <c r="AH73" i="11" s="1"/>
  <c r="AC73" i="11"/>
  <c r="AD72" i="11"/>
  <c r="AH72" i="11" s="1"/>
  <c r="AC72" i="11"/>
  <c r="AE72" i="11" s="1"/>
  <c r="AD71" i="11"/>
  <c r="AC71" i="11"/>
  <c r="AD70" i="11"/>
  <c r="AC70" i="11"/>
  <c r="AD69" i="11"/>
  <c r="AH69" i="11" s="1"/>
  <c r="AC69" i="11"/>
  <c r="AE69" i="11" s="1"/>
  <c r="AD68" i="11"/>
  <c r="AH68" i="11" s="1"/>
  <c r="AC68" i="11"/>
  <c r="AE68" i="11" s="1"/>
  <c r="AD67" i="11"/>
  <c r="AH67" i="11" s="1"/>
  <c r="AC67" i="11"/>
  <c r="AE67" i="11" s="1"/>
  <c r="AD66" i="11"/>
  <c r="AH66" i="11" s="1"/>
  <c r="AC66" i="11"/>
  <c r="AE66" i="11" s="1"/>
  <c r="AD65" i="11"/>
  <c r="AH65" i="11" s="1"/>
  <c r="AC65" i="11"/>
  <c r="AE65" i="11" s="1"/>
  <c r="AD64" i="11"/>
  <c r="AC64" i="11"/>
  <c r="AD63" i="11"/>
  <c r="AC63" i="11"/>
  <c r="AD62" i="11"/>
  <c r="AH62" i="11" s="1"/>
  <c r="AC62" i="11"/>
  <c r="AE62" i="11" s="1"/>
  <c r="AD61" i="11"/>
  <c r="AH61" i="11" s="1"/>
  <c r="AC61" i="11"/>
  <c r="AE61" i="11" s="1"/>
  <c r="AD60" i="11"/>
  <c r="AH60" i="11" s="1"/>
  <c r="AC60" i="11"/>
  <c r="AE60" i="11" s="1"/>
  <c r="AD59" i="11"/>
  <c r="AH59" i="11" s="1"/>
  <c r="AC59" i="11"/>
  <c r="AE59" i="11" s="1"/>
  <c r="AD58" i="11"/>
  <c r="AH58" i="11" s="1"/>
  <c r="AC58" i="11"/>
  <c r="AE58" i="11" s="1"/>
  <c r="AD57" i="11"/>
  <c r="AC57" i="11"/>
  <c r="AD56" i="11"/>
  <c r="AC56" i="11"/>
  <c r="AD55" i="11"/>
  <c r="AE55" i="11" s="1"/>
  <c r="AC55" i="11"/>
  <c r="AD54" i="11"/>
  <c r="AH54" i="11" s="1"/>
  <c r="AC54" i="11"/>
  <c r="AE54" i="11" s="1"/>
  <c r="AD53" i="11"/>
  <c r="AH53" i="11" s="1"/>
  <c r="AC53" i="11"/>
  <c r="AE53" i="11" s="1"/>
  <c r="AD52" i="11"/>
  <c r="AH52" i="11" s="1"/>
  <c r="AC52" i="11"/>
  <c r="AE52" i="11" s="1"/>
  <c r="AL19" i="12" s="1"/>
  <c r="AD51" i="11"/>
  <c r="AH51" i="11" s="1"/>
  <c r="AC51" i="11"/>
  <c r="AE51" i="11" s="1"/>
  <c r="AD50" i="11"/>
  <c r="AC50" i="11"/>
  <c r="AD49" i="11"/>
  <c r="AC49" i="11"/>
  <c r="AD48" i="11"/>
  <c r="AE48" i="11" s="1"/>
  <c r="AC48" i="11"/>
  <c r="AD47" i="11"/>
  <c r="AC47" i="11"/>
  <c r="AD46" i="11"/>
  <c r="AH46" i="11" s="1"/>
  <c r="AC46" i="11"/>
  <c r="AE46" i="11" s="1"/>
  <c r="AF19" i="12" s="1"/>
  <c r="AD45" i="11"/>
  <c r="AH45" i="11" s="1"/>
  <c r="AC45" i="11"/>
  <c r="AE45" i="11" s="1"/>
  <c r="AE19" i="12" s="1"/>
  <c r="AD44" i="11"/>
  <c r="AH44" i="11" s="1"/>
  <c r="AC44" i="11"/>
  <c r="AE44" i="11" s="1"/>
  <c r="AD19" i="12" s="1"/>
  <c r="AD43" i="11"/>
  <c r="AC43" i="11"/>
  <c r="AD42" i="11"/>
  <c r="AC42" i="11"/>
  <c r="AD41" i="11"/>
  <c r="AH41" i="11" s="1"/>
  <c r="AC41" i="11"/>
  <c r="AE41" i="11" s="1"/>
  <c r="AD40" i="11"/>
  <c r="AH40" i="11" s="1"/>
  <c r="AC40" i="11"/>
  <c r="AD39" i="11"/>
  <c r="AC39" i="11"/>
  <c r="AD38" i="11"/>
  <c r="AH38" i="11" s="1"/>
  <c r="AC38" i="11"/>
  <c r="AE38" i="11" s="1"/>
  <c r="X19" i="12" s="1"/>
  <c r="AD37" i="11"/>
  <c r="AH37" i="11" s="1"/>
  <c r="AC37" i="11"/>
  <c r="AE37" i="11" s="1"/>
  <c r="W19" i="12" s="1"/>
  <c r="AD36" i="11"/>
  <c r="AC36" i="11"/>
  <c r="AD35" i="11"/>
  <c r="AC35" i="11"/>
  <c r="AD34" i="11"/>
  <c r="AH34" i="11" s="1"/>
  <c r="AC34" i="11"/>
  <c r="AE34" i="11" s="1"/>
  <c r="AD33" i="11"/>
  <c r="AH33" i="11" s="1"/>
  <c r="AC33" i="11"/>
  <c r="AE33" i="11" s="1"/>
  <c r="S19" i="12" s="1"/>
  <c r="AD32" i="11"/>
  <c r="AC32" i="11"/>
  <c r="AD31" i="11"/>
  <c r="AC31" i="11"/>
  <c r="AD30" i="11"/>
  <c r="AH30" i="11" s="1"/>
  <c r="AC30" i="11"/>
  <c r="AE30" i="11" s="1"/>
  <c r="P19" i="12" s="1"/>
  <c r="AD29" i="11"/>
  <c r="AC29" i="11"/>
  <c r="AD28" i="11"/>
  <c r="AC28" i="11"/>
  <c r="AD27" i="11"/>
  <c r="AH27" i="11" s="1"/>
  <c r="AC27" i="11"/>
  <c r="AE27" i="11" s="1"/>
  <c r="AD26" i="11"/>
  <c r="AH26" i="11" s="1"/>
  <c r="AC26" i="11"/>
  <c r="AE26" i="11" s="1"/>
  <c r="AD25" i="11"/>
  <c r="AH25" i="11" s="1"/>
  <c r="AC25" i="11"/>
  <c r="AE25" i="11" s="1"/>
  <c r="K19" i="12" s="1"/>
  <c r="AD24" i="11"/>
  <c r="AH24" i="11" s="1"/>
  <c r="AC24" i="11"/>
  <c r="AD23" i="11"/>
  <c r="AE23" i="11" s="1"/>
  <c r="I19" i="12" s="1"/>
  <c r="AC23" i="11"/>
  <c r="AD22" i="11"/>
  <c r="AC22" i="11"/>
  <c r="AD21" i="11"/>
  <c r="AC21" i="11"/>
  <c r="AD20" i="11"/>
  <c r="AH20" i="11" s="1"/>
  <c r="AC20" i="11"/>
  <c r="AE20" i="11" s="1"/>
  <c r="AD19" i="11"/>
  <c r="AH19" i="11" s="1"/>
  <c r="AC19" i="11"/>
  <c r="AE19" i="11" s="1"/>
  <c r="E19" i="12" s="1"/>
  <c r="AD18" i="11"/>
  <c r="AH18" i="11" s="1"/>
  <c r="AC18" i="11"/>
  <c r="AE18" i="11" s="1"/>
  <c r="AD17" i="11"/>
  <c r="AH17" i="11" s="1"/>
  <c r="AC17" i="11"/>
  <c r="AE17" i="11" s="1"/>
  <c r="C19" i="12" s="1"/>
  <c r="AD16" i="11"/>
  <c r="AC16" i="11"/>
  <c r="AD76" i="10"/>
  <c r="AH76" i="10" s="1"/>
  <c r="AC76" i="10"/>
  <c r="AE76" i="10" s="1"/>
  <c r="AD75" i="10"/>
  <c r="AH75" i="10" s="1"/>
  <c r="AC75" i="10"/>
  <c r="AE75" i="10" s="1"/>
  <c r="AD74" i="10"/>
  <c r="AH74" i="10" s="1"/>
  <c r="AC74" i="10"/>
  <c r="AE74" i="10" s="1"/>
  <c r="AD73" i="10"/>
  <c r="AH73" i="10" s="1"/>
  <c r="AC73" i="10"/>
  <c r="AE73" i="10" s="1"/>
  <c r="AD72" i="10"/>
  <c r="AH72" i="10" s="1"/>
  <c r="AC72" i="10"/>
  <c r="AE72" i="10" s="1"/>
  <c r="AD71" i="10"/>
  <c r="AC71" i="10"/>
  <c r="AD70" i="10"/>
  <c r="AC70" i="10"/>
  <c r="AD69" i="10"/>
  <c r="AH69" i="10" s="1"/>
  <c r="AC69" i="10"/>
  <c r="AD68" i="10"/>
  <c r="AH68" i="10" s="1"/>
  <c r="AC68" i="10"/>
  <c r="AE68" i="10" s="1"/>
  <c r="AD67" i="10"/>
  <c r="AH67" i="10" s="1"/>
  <c r="AC67" i="10"/>
  <c r="AE67" i="10" s="1"/>
  <c r="AD66" i="10"/>
  <c r="AH66" i="10" s="1"/>
  <c r="AC66" i="10"/>
  <c r="AE66" i="10" s="1"/>
  <c r="AD65" i="10"/>
  <c r="AH65" i="10" s="1"/>
  <c r="AC65" i="10"/>
  <c r="AE65" i="10" s="1"/>
  <c r="AD64" i="10"/>
  <c r="AC64" i="10"/>
  <c r="AD63" i="10"/>
  <c r="AC63" i="10"/>
  <c r="AD62" i="10"/>
  <c r="AC62" i="10"/>
  <c r="AE62" i="10" s="1"/>
  <c r="AD61" i="10"/>
  <c r="AH61" i="10" s="1"/>
  <c r="AC61" i="10"/>
  <c r="AD60" i="10"/>
  <c r="AC60" i="10"/>
  <c r="AE60" i="10" s="1"/>
  <c r="AD59" i="10"/>
  <c r="AH59" i="10" s="1"/>
  <c r="AC59" i="10"/>
  <c r="AE59" i="10" s="1"/>
  <c r="AD58" i="10"/>
  <c r="AC58" i="10"/>
  <c r="AE58" i="10" s="1"/>
  <c r="AD57" i="10"/>
  <c r="AC57" i="10"/>
  <c r="AD56" i="10"/>
  <c r="AC56" i="10"/>
  <c r="AD55" i="10"/>
  <c r="AH55" i="10" s="1"/>
  <c r="AC55" i="10"/>
  <c r="AE55" i="10" s="1"/>
  <c r="AD54" i="10"/>
  <c r="AH54" i="10" s="1"/>
  <c r="AC54" i="10"/>
  <c r="AE54" i="10" s="1"/>
  <c r="AD53" i="10"/>
  <c r="AH53" i="10" s="1"/>
  <c r="AC53" i="10"/>
  <c r="AD52" i="10"/>
  <c r="AH52" i="10" s="1"/>
  <c r="AC52" i="10"/>
  <c r="AE52" i="10" s="1"/>
  <c r="AL18" i="12" s="1"/>
  <c r="AE51" i="10"/>
  <c r="AD51" i="10"/>
  <c r="AH51" i="10" s="1"/>
  <c r="AC51" i="10"/>
  <c r="AD50" i="10"/>
  <c r="AC50" i="10"/>
  <c r="AD49" i="10"/>
  <c r="AC49" i="10"/>
  <c r="AD48" i="10"/>
  <c r="AH48" i="10" s="1"/>
  <c r="AC48" i="10"/>
  <c r="AD47" i="10"/>
  <c r="AH47" i="10" s="1"/>
  <c r="AC47" i="10"/>
  <c r="AE47" i="10" s="1"/>
  <c r="AG18" i="12" s="1"/>
  <c r="AD46" i="10"/>
  <c r="AH46" i="10" s="1"/>
  <c r="AC46" i="10"/>
  <c r="AE46" i="10" s="1"/>
  <c r="AD45" i="10"/>
  <c r="AH45" i="10" s="1"/>
  <c r="AC45" i="10"/>
  <c r="AD44" i="10"/>
  <c r="AH44" i="10" s="1"/>
  <c r="AC44" i="10"/>
  <c r="AE44" i="10" s="1"/>
  <c r="AD18" i="12" s="1"/>
  <c r="AD43" i="10"/>
  <c r="AC43" i="10"/>
  <c r="AD42" i="10"/>
  <c r="AC42" i="10"/>
  <c r="AD41" i="10"/>
  <c r="AH41" i="10" s="1"/>
  <c r="AC41" i="10"/>
  <c r="AE41" i="10" s="1"/>
  <c r="AD40" i="10"/>
  <c r="AC40" i="10"/>
  <c r="AD39" i="10"/>
  <c r="AH39" i="10" s="1"/>
  <c r="AC39" i="10"/>
  <c r="AE39" i="10" s="1"/>
  <c r="Y18" i="12" s="1"/>
  <c r="AD38" i="10"/>
  <c r="AC38" i="10"/>
  <c r="AE38" i="10" s="1"/>
  <c r="AD37" i="10"/>
  <c r="AH37" i="10" s="1"/>
  <c r="AC37" i="10"/>
  <c r="AD36" i="10"/>
  <c r="AC36" i="10"/>
  <c r="AD35" i="10"/>
  <c r="AC35" i="10"/>
  <c r="AD34" i="10"/>
  <c r="AH34" i="10" s="1"/>
  <c r="AC34" i="10"/>
  <c r="AE34" i="10" s="1"/>
  <c r="AD33" i="10"/>
  <c r="AH33" i="10" s="1"/>
  <c r="AC33" i="10"/>
  <c r="AE33" i="10" s="1"/>
  <c r="S18" i="12" s="1"/>
  <c r="AD32" i="10"/>
  <c r="AH32" i="10" s="1"/>
  <c r="AC32" i="10"/>
  <c r="AD31" i="10"/>
  <c r="AH31" i="10" s="1"/>
  <c r="AC31" i="10"/>
  <c r="AE31" i="10" s="1"/>
  <c r="Q18" i="12" s="1"/>
  <c r="AD30" i="10"/>
  <c r="AH30" i="10" s="1"/>
  <c r="AC30" i="10"/>
  <c r="AE30" i="10" s="1"/>
  <c r="AD29" i="10"/>
  <c r="AC29" i="10"/>
  <c r="AD28" i="10"/>
  <c r="AC28" i="10"/>
  <c r="AD27" i="10"/>
  <c r="AH27" i="10" s="1"/>
  <c r="AC27" i="10"/>
  <c r="AE27" i="10" s="1"/>
  <c r="AD26" i="10"/>
  <c r="AH26" i="10" s="1"/>
  <c r="AC26" i="10"/>
  <c r="AE26" i="10" s="1"/>
  <c r="L18" i="12" s="1"/>
  <c r="AD25" i="10"/>
  <c r="AH25" i="10" s="1"/>
  <c r="AC25" i="10"/>
  <c r="AE25" i="10" s="1"/>
  <c r="K18" i="12" s="1"/>
  <c r="AD24" i="10"/>
  <c r="AH24" i="10" s="1"/>
  <c r="AC24" i="10"/>
  <c r="AD23" i="10"/>
  <c r="AH23" i="10" s="1"/>
  <c r="AC23" i="10"/>
  <c r="AE23" i="10" s="1"/>
  <c r="I18" i="12" s="1"/>
  <c r="AD22" i="10"/>
  <c r="AC22" i="10"/>
  <c r="AD21" i="10"/>
  <c r="AC21" i="10"/>
  <c r="AE20" i="10"/>
  <c r="AG20" i="10" s="1"/>
  <c r="AD20" i="10"/>
  <c r="AC20" i="10"/>
  <c r="AD19" i="10"/>
  <c r="AH19" i="10" s="1"/>
  <c r="AC19" i="10"/>
  <c r="AE19" i="10" s="1"/>
  <c r="E18" i="12" s="1"/>
  <c r="AD18" i="10"/>
  <c r="AC18" i="10"/>
  <c r="AE18" i="10" s="1"/>
  <c r="D18" i="12" s="1"/>
  <c r="AD17" i="10"/>
  <c r="AH17" i="10" s="1"/>
  <c r="AC17" i="10"/>
  <c r="AE17" i="10" s="1"/>
  <c r="C18" i="12" s="1"/>
  <c r="G18" i="12" s="1"/>
  <c r="H18" i="12" s="1"/>
  <c r="AD16" i="10"/>
  <c r="AE16" i="10" s="1"/>
  <c r="B18" i="12" s="1"/>
  <c r="AC16" i="10"/>
  <c r="AD76" i="9"/>
  <c r="AH76" i="9" s="1"/>
  <c r="AC76" i="9"/>
  <c r="AE76" i="9" s="1"/>
  <c r="AD75" i="9"/>
  <c r="AC75" i="9"/>
  <c r="AD74" i="9"/>
  <c r="AH74" i="9" s="1"/>
  <c r="AC74" i="9"/>
  <c r="AE74" i="9" s="1"/>
  <c r="BH17" i="12" s="1"/>
  <c r="AD73" i="9"/>
  <c r="AH73" i="9" s="1"/>
  <c r="AC73" i="9"/>
  <c r="AE73" i="9" s="1"/>
  <c r="BG17" i="12" s="1"/>
  <c r="AD72" i="9"/>
  <c r="AH72" i="9" s="1"/>
  <c r="AC72" i="9"/>
  <c r="AE72" i="9" s="1"/>
  <c r="AD71" i="9"/>
  <c r="AC71" i="9"/>
  <c r="AD70" i="9"/>
  <c r="AC70" i="9"/>
  <c r="AD69" i="9"/>
  <c r="AH69" i="9" s="1"/>
  <c r="AC69" i="9"/>
  <c r="AD68" i="9"/>
  <c r="AH68" i="9" s="1"/>
  <c r="AC68" i="9"/>
  <c r="AE68" i="9" s="1"/>
  <c r="BB17" i="12" s="1"/>
  <c r="AD67" i="9"/>
  <c r="AH67" i="9" s="1"/>
  <c r="AC67" i="9"/>
  <c r="AE67" i="9" s="1"/>
  <c r="AD66" i="9"/>
  <c r="AH66" i="9" s="1"/>
  <c r="AC66" i="9"/>
  <c r="AE66" i="9" s="1"/>
  <c r="AZ17" i="12" s="1"/>
  <c r="AD65" i="9"/>
  <c r="AH65" i="9" s="1"/>
  <c r="AC65" i="9"/>
  <c r="AE65" i="9" s="1"/>
  <c r="AY17" i="12" s="1"/>
  <c r="AD64" i="9"/>
  <c r="AC64" i="9"/>
  <c r="AD63" i="9"/>
  <c r="AC63" i="9"/>
  <c r="AD62" i="9"/>
  <c r="AH62" i="9" s="1"/>
  <c r="AC62" i="9"/>
  <c r="AE62" i="9" s="1"/>
  <c r="AD61" i="9"/>
  <c r="AH61" i="9" s="1"/>
  <c r="AC61" i="9"/>
  <c r="AD60" i="9"/>
  <c r="AH60" i="9" s="1"/>
  <c r="AC60" i="9"/>
  <c r="AE60" i="9" s="1"/>
  <c r="AT17" i="12" s="1"/>
  <c r="AD59" i="9"/>
  <c r="AH59" i="9" s="1"/>
  <c r="AC59" i="9"/>
  <c r="AD58" i="9"/>
  <c r="AH58" i="9" s="1"/>
  <c r="AC58" i="9"/>
  <c r="AE58" i="9" s="1"/>
  <c r="AR17" i="12" s="1"/>
  <c r="AD57" i="9"/>
  <c r="AC57" i="9"/>
  <c r="AD56" i="9"/>
  <c r="AC56" i="9"/>
  <c r="AD55" i="9"/>
  <c r="AH55" i="9" s="1"/>
  <c r="AC55" i="9"/>
  <c r="AE55" i="9" s="1"/>
  <c r="AO17" i="12" s="1"/>
  <c r="AD54" i="9"/>
  <c r="AH54" i="9" s="1"/>
  <c r="AC54" i="9"/>
  <c r="AE54" i="9" s="1"/>
  <c r="AD53" i="9"/>
  <c r="AH53" i="9" s="1"/>
  <c r="AC53" i="9"/>
  <c r="AD52" i="9"/>
  <c r="AH52" i="9" s="1"/>
  <c r="AC52" i="9"/>
  <c r="AE52" i="9" s="1"/>
  <c r="AL17" i="12" s="1"/>
  <c r="AD51" i="9"/>
  <c r="AC51" i="9"/>
  <c r="AD50" i="9"/>
  <c r="AC50" i="9"/>
  <c r="AD49" i="9"/>
  <c r="AC49" i="9"/>
  <c r="AD48" i="9"/>
  <c r="AH48" i="9" s="1"/>
  <c r="AC48" i="9"/>
  <c r="AD47" i="9"/>
  <c r="AH47" i="9" s="1"/>
  <c r="AC47" i="9"/>
  <c r="AE47" i="9" s="1"/>
  <c r="AG17" i="12" s="1"/>
  <c r="AD46" i="9"/>
  <c r="AC46" i="9"/>
  <c r="AD45" i="9"/>
  <c r="AH45" i="9" s="1"/>
  <c r="AC45" i="9"/>
  <c r="AD44" i="9"/>
  <c r="AH44" i="9" s="1"/>
  <c r="AC44" i="9"/>
  <c r="AE44" i="9" s="1"/>
  <c r="AD17" i="12" s="1"/>
  <c r="AD43" i="9"/>
  <c r="AC43" i="9"/>
  <c r="AD42" i="9"/>
  <c r="AC42" i="9"/>
  <c r="AD41" i="9"/>
  <c r="AH41" i="9" s="1"/>
  <c r="AC41" i="9"/>
  <c r="AD40" i="9"/>
  <c r="AH40" i="9" s="1"/>
  <c r="AC40" i="9"/>
  <c r="AD39" i="9"/>
  <c r="AH39" i="9" s="1"/>
  <c r="AC39" i="9"/>
  <c r="AE39" i="9" s="1"/>
  <c r="Y17" i="12" s="1"/>
  <c r="AD38" i="9"/>
  <c r="AH38" i="9" s="1"/>
  <c r="AC38" i="9"/>
  <c r="AD37" i="9"/>
  <c r="AH37" i="9" s="1"/>
  <c r="AC37" i="9"/>
  <c r="AD36" i="9"/>
  <c r="AC36" i="9"/>
  <c r="AD35" i="9"/>
  <c r="AC35" i="9"/>
  <c r="AD34" i="9"/>
  <c r="AH34" i="9" s="1"/>
  <c r="AC34" i="9"/>
  <c r="AE34" i="9" s="1"/>
  <c r="AD33" i="9"/>
  <c r="AH33" i="9" s="1"/>
  <c r="AC33" i="9"/>
  <c r="AE33" i="9" s="1"/>
  <c r="S17" i="12" s="1"/>
  <c r="AD32" i="9"/>
  <c r="AC32" i="9"/>
  <c r="AD31" i="9"/>
  <c r="AH31" i="9" s="1"/>
  <c r="AC31" i="9"/>
  <c r="AE31" i="9" s="1"/>
  <c r="Q17" i="12" s="1"/>
  <c r="AD30" i="9"/>
  <c r="AH30" i="9" s="1"/>
  <c r="AC30" i="9"/>
  <c r="AE30" i="9" s="1"/>
  <c r="AD29" i="9"/>
  <c r="AC29" i="9"/>
  <c r="AD28" i="9"/>
  <c r="AC28" i="9"/>
  <c r="AD27" i="9"/>
  <c r="AH27" i="9" s="1"/>
  <c r="AC27" i="9"/>
  <c r="AE27" i="9" s="1"/>
  <c r="AD26" i="9"/>
  <c r="AH26" i="9" s="1"/>
  <c r="AC26" i="9"/>
  <c r="AE26" i="9" s="1"/>
  <c r="L17" i="12" s="1"/>
  <c r="AD25" i="9"/>
  <c r="AH25" i="9" s="1"/>
  <c r="AC25" i="9"/>
  <c r="AE25" i="9" s="1"/>
  <c r="K17" i="12" s="1"/>
  <c r="AD24" i="9"/>
  <c r="AH24" i="9" s="1"/>
  <c r="AC24" i="9"/>
  <c r="AD23" i="9"/>
  <c r="AH23" i="9" s="1"/>
  <c r="AC23" i="9"/>
  <c r="AE23" i="9" s="1"/>
  <c r="I17" i="12" s="1"/>
  <c r="AD22" i="9"/>
  <c r="AC22" i="9"/>
  <c r="AD21" i="9"/>
  <c r="AC21" i="9"/>
  <c r="AD20" i="9"/>
  <c r="AH20" i="9" s="1"/>
  <c r="AC20" i="9"/>
  <c r="AE20" i="9" s="1"/>
  <c r="AG20" i="9" s="1"/>
  <c r="AD19" i="9"/>
  <c r="AH19" i="9" s="1"/>
  <c r="AC19" i="9"/>
  <c r="AE19" i="9" s="1"/>
  <c r="E17" i="12" s="1"/>
  <c r="AD18" i="9"/>
  <c r="AH18" i="9" s="1"/>
  <c r="AC18" i="9"/>
  <c r="AE18" i="9" s="1"/>
  <c r="D17" i="12" s="1"/>
  <c r="AD17" i="9"/>
  <c r="AH17" i="9" s="1"/>
  <c r="AC17" i="9"/>
  <c r="AE17" i="9" s="1"/>
  <c r="C17" i="12" s="1"/>
  <c r="AD16" i="9"/>
  <c r="AH16" i="9" s="1"/>
  <c r="AC16" i="9"/>
  <c r="AD76" i="8"/>
  <c r="AH76" i="8" s="1"/>
  <c r="AC76" i="8"/>
  <c r="AE76" i="8" s="1"/>
  <c r="AD75" i="8"/>
  <c r="AH75" i="8" s="1"/>
  <c r="AC75" i="8"/>
  <c r="AE75" i="8" s="1"/>
  <c r="AG75" i="8" s="1"/>
  <c r="AD74" i="8"/>
  <c r="AH74" i="8" s="1"/>
  <c r="AC74" i="8"/>
  <c r="AE74" i="8" s="1"/>
  <c r="BH16" i="12" s="1"/>
  <c r="AD73" i="8"/>
  <c r="AH73" i="8" s="1"/>
  <c r="AC73" i="8"/>
  <c r="AD72" i="8"/>
  <c r="AH72" i="8" s="1"/>
  <c r="AC72" i="8"/>
  <c r="AE72" i="8" s="1"/>
  <c r="AD71" i="8"/>
  <c r="AC71" i="8"/>
  <c r="AD70" i="8"/>
  <c r="AC70" i="8"/>
  <c r="AD69" i="8"/>
  <c r="AH69" i="8" s="1"/>
  <c r="AC69" i="8"/>
  <c r="AE69" i="8" s="1"/>
  <c r="AD68" i="8"/>
  <c r="AH68" i="8" s="1"/>
  <c r="AC68" i="8"/>
  <c r="AD67" i="8"/>
  <c r="AH67" i="8" s="1"/>
  <c r="AC67" i="8"/>
  <c r="AE67" i="8" s="1"/>
  <c r="AD66" i="8"/>
  <c r="AH66" i="8" s="1"/>
  <c r="AC66" i="8"/>
  <c r="AE66" i="8" s="1"/>
  <c r="AZ16" i="12" s="1"/>
  <c r="AD65" i="8"/>
  <c r="AH65" i="8" s="1"/>
  <c r="AC65" i="8"/>
  <c r="AE65" i="8" s="1"/>
  <c r="AY16" i="12" s="1"/>
  <c r="AD64" i="8"/>
  <c r="AC64" i="8"/>
  <c r="AD63" i="8"/>
  <c r="AC63" i="8"/>
  <c r="AD62" i="8"/>
  <c r="AH62" i="8" s="1"/>
  <c r="AC62" i="8"/>
  <c r="AE62" i="8" s="1"/>
  <c r="AD61" i="8"/>
  <c r="AH61" i="8" s="1"/>
  <c r="AC61" i="8"/>
  <c r="AE61" i="8" s="1"/>
  <c r="AF61" i="8" s="1"/>
  <c r="AD60" i="8"/>
  <c r="AH60" i="8" s="1"/>
  <c r="AC60" i="8"/>
  <c r="AD59" i="8"/>
  <c r="AH59" i="8" s="1"/>
  <c r="AC59" i="8"/>
  <c r="AE59" i="8" s="1"/>
  <c r="AD58" i="8"/>
  <c r="AH58" i="8" s="1"/>
  <c r="AC58" i="8"/>
  <c r="AD57" i="8"/>
  <c r="AC57" i="8"/>
  <c r="AD56" i="8"/>
  <c r="AC56" i="8"/>
  <c r="AD55" i="8"/>
  <c r="AH55" i="8" s="1"/>
  <c r="AC55" i="8"/>
  <c r="AE55" i="8" s="1"/>
  <c r="AO16" i="12" s="1"/>
  <c r="AD54" i="8"/>
  <c r="AH54" i="8" s="1"/>
  <c r="AC54" i="8"/>
  <c r="AE54" i="8" s="1"/>
  <c r="AD53" i="8"/>
  <c r="AH53" i="8" s="1"/>
  <c r="AC53" i="8"/>
  <c r="AE53" i="8" s="1"/>
  <c r="AD52" i="8"/>
  <c r="AH52" i="8" s="1"/>
  <c r="AC52" i="8"/>
  <c r="AE52" i="8" s="1"/>
  <c r="AL16" i="12" s="1"/>
  <c r="AD51" i="8"/>
  <c r="AH51" i="8" s="1"/>
  <c r="AC51" i="8"/>
  <c r="AE51" i="8" s="1"/>
  <c r="AD50" i="8"/>
  <c r="AC50" i="8"/>
  <c r="AD49" i="8"/>
  <c r="AC49" i="8"/>
  <c r="AD48" i="8"/>
  <c r="AH48" i="8" s="1"/>
  <c r="AC48" i="8"/>
  <c r="AD47" i="8"/>
  <c r="AH47" i="8" s="1"/>
  <c r="AC47" i="8"/>
  <c r="AD46" i="8"/>
  <c r="AH46" i="8" s="1"/>
  <c r="AC46" i="8"/>
  <c r="AE46" i="8" s="1"/>
  <c r="AD45" i="8"/>
  <c r="AH45" i="8" s="1"/>
  <c r="AC45" i="8"/>
  <c r="AD44" i="8"/>
  <c r="AH44" i="8" s="1"/>
  <c r="AC44" i="8"/>
  <c r="AD43" i="8"/>
  <c r="AC43" i="8"/>
  <c r="AD42" i="8"/>
  <c r="AC42" i="8"/>
  <c r="AD41" i="8"/>
  <c r="AH41" i="8" s="1"/>
  <c r="AC41" i="8"/>
  <c r="AE41" i="8" s="1"/>
  <c r="AD40" i="8"/>
  <c r="AH40" i="8" s="1"/>
  <c r="AC40" i="8"/>
  <c r="AD39" i="8"/>
  <c r="AH39" i="8" s="1"/>
  <c r="AC39" i="8"/>
  <c r="AD38" i="8"/>
  <c r="AH38" i="8" s="1"/>
  <c r="AC38" i="8"/>
  <c r="AE38" i="8" s="1"/>
  <c r="AG38" i="8" s="1"/>
  <c r="AD37" i="8"/>
  <c r="AH37" i="8" s="1"/>
  <c r="AC37" i="8"/>
  <c r="AD36" i="8"/>
  <c r="AC36" i="8"/>
  <c r="AD35" i="8"/>
  <c r="AC35" i="8"/>
  <c r="AD34" i="8"/>
  <c r="AC34" i="8"/>
  <c r="AE34" i="8" s="1"/>
  <c r="AD33" i="8"/>
  <c r="AH33" i="8" s="1"/>
  <c r="AC33" i="8"/>
  <c r="AE33" i="8" s="1"/>
  <c r="S16" i="12" s="1"/>
  <c r="AD32" i="8"/>
  <c r="AH32" i="8" s="1"/>
  <c r="AC32" i="8"/>
  <c r="AD31" i="8"/>
  <c r="AH31" i="8" s="1"/>
  <c r="AC31" i="8"/>
  <c r="AE31" i="8" s="1"/>
  <c r="Q16" i="12" s="1"/>
  <c r="AD30" i="8"/>
  <c r="AH30" i="8" s="1"/>
  <c r="AC30" i="8"/>
  <c r="AE30" i="8" s="1"/>
  <c r="AD29" i="8"/>
  <c r="AC29" i="8"/>
  <c r="AD28" i="8"/>
  <c r="AC28" i="8"/>
  <c r="AD27" i="8"/>
  <c r="AH27" i="8" s="1"/>
  <c r="AC27" i="8"/>
  <c r="AE27" i="8" s="1"/>
  <c r="AD26" i="8"/>
  <c r="AH26" i="8" s="1"/>
  <c r="AC26" i="8"/>
  <c r="AD25" i="8"/>
  <c r="AH25" i="8" s="1"/>
  <c r="AC25" i="8"/>
  <c r="AD24" i="8"/>
  <c r="AH24" i="8" s="1"/>
  <c r="AC24" i="8"/>
  <c r="AD23" i="8"/>
  <c r="AH23" i="8" s="1"/>
  <c r="AC23" i="8"/>
  <c r="AD22" i="8"/>
  <c r="AC22" i="8"/>
  <c r="AD21" i="8"/>
  <c r="AC21" i="8"/>
  <c r="AD20" i="8"/>
  <c r="AH20" i="8" s="1"/>
  <c r="AC20" i="8"/>
  <c r="AE20" i="8" s="1"/>
  <c r="AG20" i="8" s="1"/>
  <c r="AD19" i="8"/>
  <c r="AH19" i="8" s="1"/>
  <c r="AC19" i="8"/>
  <c r="AE19" i="8" s="1"/>
  <c r="E16" i="12" s="1"/>
  <c r="AD18" i="8"/>
  <c r="AH18" i="8" s="1"/>
  <c r="AC18" i="8"/>
  <c r="AD17" i="8"/>
  <c r="AH17" i="8" s="1"/>
  <c r="AC17" i="8"/>
  <c r="AE17" i="8" s="1"/>
  <c r="C16" i="12" s="1"/>
  <c r="AD16" i="8"/>
  <c r="AH16" i="8" s="1"/>
  <c r="AC16" i="8"/>
  <c r="AD76" i="7"/>
  <c r="AH76" i="7" s="1"/>
  <c r="AC76" i="7"/>
  <c r="AE76" i="7" s="1"/>
  <c r="AD75" i="7"/>
  <c r="AH75" i="7" s="1"/>
  <c r="AC75" i="7"/>
  <c r="AE75" i="7" s="1"/>
  <c r="AG75" i="7" s="1"/>
  <c r="AD74" i="7"/>
  <c r="AH74" i="7" s="1"/>
  <c r="AC74" i="7"/>
  <c r="AD73" i="7"/>
  <c r="AE73" i="7" s="1"/>
  <c r="BG15" i="12" s="1"/>
  <c r="AC73" i="7"/>
  <c r="AD72" i="7"/>
  <c r="AE72" i="7" s="1"/>
  <c r="AC72" i="7"/>
  <c r="AD71" i="7"/>
  <c r="AC71" i="7"/>
  <c r="AD70" i="7"/>
  <c r="AC70" i="7"/>
  <c r="AD69" i="7"/>
  <c r="AH69" i="7" s="1"/>
  <c r="AC69" i="7"/>
  <c r="AE69" i="7" s="1"/>
  <c r="BC15" i="12" s="1"/>
  <c r="AD68" i="7"/>
  <c r="AC68" i="7"/>
  <c r="AE68" i="7" s="1"/>
  <c r="BB15" i="12" s="1"/>
  <c r="AD67" i="7"/>
  <c r="AH67" i="7" s="1"/>
  <c r="AC67" i="7"/>
  <c r="AE67" i="7" s="1"/>
  <c r="AG67" i="7" s="1"/>
  <c r="AD66" i="7"/>
  <c r="AH66" i="7" s="1"/>
  <c r="AC66" i="7"/>
  <c r="AE66" i="7" s="1"/>
  <c r="AZ15" i="12" s="1"/>
  <c r="AD65" i="7"/>
  <c r="AH65" i="7" s="1"/>
  <c r="AC65" i="7"/>
  <c r="AE65" i="7" s="1"/>
  <c r="AY15" i="12" s="1"/>
  <c r="AD64" i="7"/>
  <c r="AC64" i="7"/>
  <c r="AD63" i="7"/>
  <c r="AC63" i="7"/>
  <c r="AD62" i="7"/>
  <c r="AH62" i="7" s="1"/>
  <c r="AC62" i="7"/>
  <c r="AE62" i="7" s="1"/>
  <c r="AD61" i="7"/>
  <c r="AH61" i="7" s="1"/>
  <c r="AC61" i="7"/>
  <c r="AE61" i="7" s="1"/>
  <c r="AU15" i="12" s="1"/>
  <c r="AD60" i="7"/>
  <c r="AH60" i="7" s="1"/>
  <c r="AC60" i="7"/>
  <c r="AD59" i="7"/>
  <c r="AH59" i="7" s="1"/>
  <c r="AC59" i="7"/>
  <c r="AE59" i="7" s="1"/>
  <c r="AD58" i="7"/>
  <c r="AH58" i="7" s="1"/>
  <c r="AC58" i="7"/>
  <c r="AD57" i="7"/>
  <c r="AC57" i="7"/>
  <c r="AD56" i="7"/>
  <c r="AC56" i="7"/>
  <c r="AD55" i="7"/>
  <c r="AH55" i="7" s="1"/>
  <c r="AC55" i="7"/>
  <c r="AD54" i="7"/>
  <c r="AH54" i="7" s="1"/>
  <c r="AC54" i="7"/>
  <c r="AE54" i="7" s="1"/>
  <c r="AD53" i="7"/>
  <c r="AH53" i="7" s="1"/>
  <c r="AC53" i="7"/>
  <c r="AE53" i="7" s="1"/>
  <c r="AM15" i="12" s="1"/>
  <c r="AD52" i="7"/>
  <c r="AH52" i="7" s="1"/>
  <c r="AC52" i="7"/>
  <c r="AE52" i="7" s="1"/>
  <c r="AL15" i="12" s="1"/>
  <c r="AD51" i="7"/>
  <c r="AH51" i="7" s="1"/>
  <c r="AC51" i="7"/>
  <c r="AE51" i="7" s="1"/>
  <c r="AD50" i="7"/>
  <c r="AC50" i="7"/>
  <c r="AD49" i="7"/>
  <c r="AC49" i="7"/>
  <c r="AD48" i="7"/>
  <c r="AC48" i="7"/>
  <c r="AD47" i="7"/>
  <c r="AH47" i="7" s="1"/>
  <c r="AC47" i="7"/>
  <c r="AD46" i="7"/>
  <c r="AE46" i="7" s="1"/>
  <c r="AC46" i="7"/>
  <c r="AD45" i="7"/>
  <c r="AH45" i="7" s="1"/>
  <c r="AC45" i="7"/>
  <c r="AE45" i="7" s="1"/>
  <c r="AE15" i="12" s="1"/>
  <c r="AD44" i="7"/>
  <c r="AH44" i="7" s="1"/>
  <c r="AC44" i="7"/>
  <c r="AD43" i="7"/>
  <c r="AC43" i="7"/>
  <c r="AD42" i="7"/>
  <c r="AC42" i="7"/>
  <c r="AD41" i="7"/>
  <c r="AH41" i="7" s="1"/>
  <c r="AC41" i="7"/>
  <c r="AE41" i="7" s="1"/>
  <c r="AD40" i="7"/>
  <c r="AH40" i="7" s="1"/>
  <c r="AC40" i="7"/>
  <c r="AE40" i="7" s="1"/>
  <c r="AD39" i="7"/>
  <c r="AH39" i="7" s="1"/>
  <c r="AC39" i="7"/>
  <c r="AD38" i="7"/>
  <c r="AH38" i="7" s="1"/>
  <c r="AC38" i="7"/>
  <c r="AE38" i="7" s="1"/>
  <c r="AG38" i="7" s="1"/>
  <c r="AD37" i="7"/>
  <c r="AH37" i="7" s="1"/>
  <c r="AC37" i="7"/>
  <c r="AE37" i="7" s="1"/>
  <c r="W15" i="12" s="1"/>
  <c r="AD36" i="7"/>
  <c r="AC36" i="7"/>
  <c r="AD35" i="7"/>
  <c r="AC35" i="7"/>
  <c r="AD34" i="7"/>
  <c r="AH34" i="7" s="1"/>
  <c r="AC34" i="7"/>
  <c r="AE34" i="7" s="1"/>
  <c r="AD33" i="7"/>
  <c r="AH33" i="7" s="1"/>
  <c r="AC33" i="7"/>
  <c r="AE33" i="7" s="1"/>
  <c r="S15" i="12" s="1"/>
  <c r="AD32" i="7"/>
  <c r="AH32" i="7" s="1"/>
  <c r="AC32" i="7"/>
  <c r="AE32" i="7" s="1"/>
  <c r="AD31" i="7"/>
  <c r="AH31" i="7" s="1"/>
  <c r="AC31" i="7"/>
  <c r="AD30" i="7"/>
  <c r="AH30" i="7" s="1"/>
  <c r="AC30" i="7"/>
  <c r="AE30" i="7" s="1"/>
  <c r="AD29" i="7"/>
  <c r="AC29" i="7"/>
  <c r="AD28" i="7"/>
  <c r="AC28" i="7"/>
  <c r="AD27" i="7"/>
  <c r="AH27" i="7" s="1"/>
  <c r="AC27" i="7"/>
  <c r="AE27" i="7" s="1"/>
  <c r="AG27" i="7" s="1"/>
  <c r="AD26" i="7"/>
  <c r="AH26" i="7" s="1"/>
  <c r="AC26" i="7"/>
  <c r="AE26" i="7" s="1"/>
  <c r="L15" i="12" s="1"/>
  <c r="AD25" i="7"/>
  <c r="AH25" i="7" s="1"/>
  <c r="AC25" i="7"/>
  <c r="AD24" i="7"/>
  <c r="AH24" i="7" s="1"/>
  <c r="AC24" i="7"/>
  <c r="AD23" i="7"/>
  <c r="AC23" i="7"/>
  <c r="AD22" i="7"/>
  <c r="AC22" i="7"/>
  <c r="AD21" i="7"/>
  <c r="AC21" i="7"/>
  <c r="AD20" i="7"/>
  <c r="AH20" i="7" s="1"/>
  <c r="AC20" i="7"/>
  <c r="AE20" i="7" s="1"/>
  <c r="AG20" i="7" s="1"/>
  <c r="AD19" i="7"/>
  <c r="AH19" i="7" s="1"/>
  <c r="AC19" i="7"/>
  <c r="AE19" i="7" s="1"/>
  <c r="AG19" i="7" s="1"/>
  <c r="AD18" i="7"/>
  <c r="AH18" i="7" s="1"/>
  <c r="AC18" i="7"/>
  <c r="AE18" i="7" s="1"/>
  <c r="D15" i="12" s="1"/>
  <c r="AD17" i="7"/>
  <c r="AH17" i="7" s="1"/>
  <c r="AC17" i="7"/>
  <c r="AD16" i="7"/>
  <c r="AH16" i="7" s="1"/>
  <c r="AC16" i="7"/>
  <c r="AD76" i="1"/>
  <c r="AD75" i="1"/>
  <c r="AD74" i="1"/>
  <c r="AH74" i="1" s="1"/>
  <c r="AD73" i="1"/>
  <c r="AD72" i="1"/>
  <c r="AH72" i="1" s="1"/>
  <c r="AD69" i="1"/>
  <c r="AD68" i="1"/>
  <c r="AD67" i="1"/>
  <c r="AD66" i="1"/>
  <c r="AD65" i="1"/>
  <c r="AD62" i="1"/>
  <c r="AH62" i="1" s="1"/>
  <c r="AD61" i="1"/>
  <c r="AH61" i="1" s="1"/>
  <c r="AD60" i="1"/>
  <c r="AH60" i="1" s="1"/>
  <c r="AD59" i="1"/>
  <c r="AD58" i="1"/>
  <c r="AD55" i="1"/>
  <c r="AH55" i="1" s="1"/>
  <c r="AD54" i="1"/>
  <c r="AH54" i="1" s="1"/>
  <c r="AD53" i="1"/>
  <c r="AH53" i="1" s="1"/>
  <c r="AD52" i="1"/>
  <c r="AH52" i="1" s="1"/>
  <c r="AD51" i="1"/>
  <c r="AH51" i="1" s="1"/>
  <c r="AD48" i="1"/>
  <c r="AD47" i="1"/>
  <c r="AD46" i="1"/>
  <c r="AD45" i="1"/>
  <c r="AD44" i="1"/>
  <c r="AD41" i="1"/>
  <c r="AD40" i="1"/>
  <c r="AD39" i="1"/>
  <c r="AH39" i="1" s="1"/>
  <c r="AD38" i="1"/>
  <c r="AD37" i="1"/>
  <c r="AH37" i="1" s="1"/>
  <c r="AD34" i="1"/>
  <c r="AD33" i="1"/>
  <c r="AH33" i="1" s="1"/>
  <c r="AD32" i="1"/>
  <c r="AH32" i="1" s="1"/>
  <c r="AD31" i="1"/>
  <c r="AH31" i="1" s="1"/>
  <c r="AD30" i="1"/>
  <c r="AH30" i="1" s="1"/>
  <c r="AD27" i="1"/>
  <c r="AD26" i="1"/>
  <c r="AD25" i="1"/>
  <c r="AD24" i="1"/>
  <c r="AD23" i="1"/>
  <c r="AD17" i="1"/>
  <c r="AD18" i="1"/>
  <c r="AD19" i="1"/>
  <c r="AH19" i="1" s="1"/>
  <c r="AD20" i="1"/>
  <c r="AD16" i="1"/>
  <c r="A19" i="12"/>
  <c r="A18" i="12"/>
  <c r="A17" i="12"/>
  <c r="A16" i="12"/>
  <c r="A15" i="12"/>
  <c r="A14" i="12"/>
  <c r="E13" i="12"/>
  <c r="D13" i="12"/>
  <c r="C13" i="12"/>
  <c r="B13" i="12"/>
  <c r="AH34" i="8"/>
  <c r="AH68" i="7"/>
  <c r="AH76" i="1"/>
  <c r="AH75" i="1"/>
  <c r="AH73" i="1"/>
  <c r="AH69" i="1"/>
  <c r="AH68" i="1"/>
  <c r="AH67" i="1"/>
  <c r="AH66" i="1"/>
  <c r="AH65" i="1"/>
  <c r="AH59" i="1"/>
  <c r="AH58" i="1"/>
  <c r="AH48" i="1"/>
  <c r="AH47" i="1"/>
  <c r="AH46" i="1"/>
  <c r="AH45" i="1"/>
  <c r="AH44" i="1"/>
  <c r="AH41" i="1"/>
  <c r="AH34" i="1"/>
  <c r="AH27" i="1"/>
  <c r="AC75" i="1"/>
  <c r="AC61" i="1"/>
  <c r="AC47" i="1"/>
  <c r="AC40" i="1"/>
  <c r="AH40" i="1"/>
  <c r="AC33" i="1"/>
  <c r="AC26" i="1"/>
  <c r="AH26" i="1"/>
  <c r="AC19" i="1"/>
  <c r="AE32" i="11" l="1"/>
  <c r="R19" i="12" s="1"/>
  <c r="AE73" i="11"/>
  <c r="BG19" i="12" s="1"/>
  <c r="AE39" i="11"/>
  <c r="Y19" i="12" s="1"/>
  <c r="AE61" i="9"/>
  <c r="AE59" i="9"/>
  <c r="AE73" i="8"/>
  <c r="AE69" i="10"/>
  <c r="AE61" i="10"/>
  <c r="AE53" i="10"/>
  <c r="AE41" i="9"/>
  <c r="AE45" i="10"/>
  <c r="AE40" i="10"/>
  <c r="AE37" i="10"/>
  <c r="AE48" i="9"/>
  <c r="AE45" i="9"/>
  <c r="AE23" i="7"/>
  <c r="BI19" i="12"/>
  <c r="AG75" i="11"/>
  <c r="BH19" i="12"/>
  <c r="AG74" i="11"/>
  <c r="BA19" i="12"/>
  <c r="AG67" i="11"/>
  <c r="AZ19" i="12"/>
  <c r="AG66" i="11"/>
  <c r="AS19" i="12"/>
  <c r="AG59" i="11"/>
  <c r="AR19" i="12"/>
  <c r="AG58" i="11"/>
  <c r="AK19" i="12"/>
  <c r="AG51" i="11"/>
  <c r="AE47" i="11"/>
  <c r="AG19" i="12" s="1"/>
  <c r="AH47" i="11"/>
  <c r="AF34" i="11"/>
  <c r="AG34" i="11"/>
  <c r="AE31" i="11"/>
  <c r="Q19" i="12" s="1"/>
  <c r="AH31" i="11"/>
  <c r="AG26" i="11"/>
  <c r="AF26" i="11"/>
  <c r="L19" i="12"/>
  <c r="AG18" i="11"/>
  <c r="AF18" i="11"/>
  <c r="D19" i="12"/>
  <c r="BI18" i="12"/>
  <c r="AG75" i="10"/>
  <c r="BF18" i="12"/>
  <c r="AG72" i="10"/>
  <c r="BA18" i="12"/>
  <c r="AG67" i="10"/>
  <c r="AS18" i="12"/>
  <c r="AG59" i="10"/>
  <c r="AN18" i="12"/>
  <c r="AG54" i="10"/>
  <c r="AG51" i="10"/>
  <c r="AK18" i="12"/>
  <c r="AF18" i="12"/>
  <c r="AG46" i="10"/>
  <c r="X18" i="12"/>
  <c r="AG38" i="10"/>
  <c r="P18" i="12"/>
  <c r="AG30" i="10"/>
  <c r="AE75" i="9"/>
  <c r="AH75" i="9"/>
  <c r="AV17" i="12"/>
  <c r="AG62" i="9"/>
  <c r="AE46" i="9"/>
  <c r="AH46" i="9"/>
  <c r="AE32" i="9"/>
  <c r="R17" i="12" s="1"/>
  <c r="AH32" i="9"/>
  <c r="AV16" i="12"/>
  <c r="AG62" i="8"/>
  <c r="AG53" i="8"/>
  <c r="AM16" i="12"/>
  <c r="AH48" i="7"/>
  <c r="AE48" i="7"/>
  <c r="AE74" i="7"/>
  <c r="BH15" i="12" s="1"/>
  <c r="AE60" i="7"/>
  <c r="AT15" i="12" s="1"/>
  <c r="AG51" i="7"/>
  <c r="AK15" i="12"/>
  <c r="AE25" i="7"/>
  <c r="K15" i="12" s="1"/>
  <c r="E15" i="12"/>
  <c r="BI17" i="12"/>
  <c r="AG75" i="9"/>
  <c r="BF17" i="12"/>
  <c r="AG72" i="9"/>
  <c r="AE69" i="9"/>
  <c r="BA17" i="12"/>
  <c r="AG67" i="9"/>
  <c r="AN17" i="12"/>
  <c r="AG54" i="9"/>
  <c r="AE53" i="9"/>
  <c r="AM17" i="12" s="1"/>
  <c r="AH51" i="9"/>
  <c r="AE51" i="9"/>
  <c r="AF17" i="12"/>
  <c r="AG46" i="9"/>
  <c r="AE38" i="9"/>
  <c r="AF38" i="9" s="1"/>
  <c r="X17" i="12"/>
  <c r="AG38" i="9"/>
  <c r="AE37" i="9"/>
  <c r="P17" i="12"/>
  <c r="U17" i="12" s="1"/>
  <c r="V17" i="12" s="1"/>
  <c r="AG30" i="9"/>
  <c r="AE68" i="8"/>
  <c r="AE58" i="8"/>
  <c r="AE60" i="8"/>
  <c r="AE39" i="8"/>
  <c r="AE23" i="8"/>
  <c r="AE25" i="8"/>
  <c r="AF25" i="8" s="1"/>
  <c r="AE18" i="8"/>
  <c r="AF18" i="8" s="1"/>
  <c r="BI16" i="12"/>
  <c r="BK16" i="12" s="1"/>
  <c r="BL16" i="12" s="1"/>
  <c r="AF69" i="8"/>
  <c r="AG69" i="8"/>
  <c r="BC16" i="12"/>
  <c r="AG67" i="8"/>
  <c r="BA16" i="12"/>
  <c r="AU16" i="12"/>
  <c r="AG61" i="8"/>
  <c r="AG59" i="8"/>
  <c r="AS16" i="12"/>
  <c r="AG54" i="8"/>
  <c r="AN16" i="12"/>
  <c r="AF53" i="8"/>
  <c r="AG51" i="8"/>
  <c r="AK16" i="12"/>
  <c r="AE47" i="8"/>
  <c r="AG46" i="8"/>
  <c r="AF16" i="12"/>
  <c r="AE45" i="8"/>
  <c r="AE44" i="8"/>
  <c r="X16" i="12"/>
  <c r="AE37" i="8"/>
  <c r="W16" i="12" s="1"/>
  <c r="BI15" i="12"/>
  <c r="AH73" i="7"/>
  <c r="AG72" i="7"/>
  <c r="BF15" i="12"/>
  <c r="BK15" i="12" s="1"/>
  <c r="BL15" i="12" s="1"/>
  <c r="AH72" i="7"/>
  <c r="BA15" i="12"/>
  <c r="AF67" i="7"/>
  <c r="BD15" i="12"/>
  <c r="BE15" i="12" s="1"/>
  <c r="AG59" i="7"/>
  <c r="AF59" i="7"/>
  <c r="AS15" i="12"/>
  <c r="AE58" i="7"/>
  <c r="AE55" i="7"/>
  <c r="AG54" i="7"/>
  <c r="AN15" i="12"/>
  <c r="AP15" i="12" s="1"/>
  <c r="AQ15" i="12" s="1"/>
  <c r="AF54" i="7"/>
  <c r="AF51" i="7"/>
  <c r="AG46" i="7"/>
  <c r="AF46" i="7"/>
  <c r="AF15" i="12"/>
  <c r="AH46" i="7"/>
  <c r="AE44" i="7"/>
  <c r="AF40" i="7"/>
  <c r="Z15" i="12"/>
  <c r="AG40" i="7"/>
  <c r="AE39" i="7"/>
  <c r="Y15" i="12" s="1"/>
  <c r="X15" i="12"/>
  <c r="AB15" i="12" s="1"/>
  <c r="AC15" i="12" s="1"/>
  <c r="AF38" i="7"/>
  <c r="AB18" i="12"/>
  <c r="AC18" i="12" s="1"/>
  <c r="U19" i="12"/>
  <c r="V19" i="12" s="1"/>
  <c r="BK17" i="12"/>
  <c r="BL17" i="12" s="1"/>
  <c r="AW18" i="12"/>
  <c r="AX18" i="12" s="1"/>
  <c r="AI17" i="12"/>
  <c r="AJ17" i="12" s="1"/>
  <c r="AP16" i="12"/>
  <c r="AQ16" i="12" s="1"/>
  <c r="AW19" i="12"/>
  <c r="AX19" i="12" s="1"/>
  <c r="BD19" i="12"/>
  <c r="BE19" i="12" s="1"/>
  <c r="BK19" i="12"/>
  <c r="BL19" i="12" s="1"/>
  <c r="AI18" i="12"/>
  <c r="AJ18" i="12" s="1"/>
  <c r="BK18" i="12"/>
  <c r="BL18" i="12" s="1"/>
  <c r="AI19" i="12"/>
  <c r="AJ19" i="12" s="1"/>
  <c r="AP18" i="12"/>
  <c r="AQ18" i="12" s="1"/>
  <c r="BD18" i="12"/>
  <c r="BE18" i="12" s="1"/>
  <c r="AP19" i="12"/>
  <c r="AQ19" i="12" s="1"/>
  <c r="BF20" i="12"/>
  <c r="AF32" i="7"/>
  <c r="AG32" i="7"/>
  <c r="R15" i="12"/>
  <c r="AG30" i="7"/>
  <c r="AF30" i="7"/>
  <c r="P15" i="12"/>
  <c r="AG30" i="8"/>
  <c r="P16" i="12"/>
  <c r="AE26" i="8"/>
  <c r="AH23" i="7"/>
  <c r="AE17" i="7"/>
  <c r="AE16" i="9"/>
  <c r="AE16" i="11"/>
  <c r="B19" i="12" s="1"/>
  <c r="G19" i="12" s="1"/>
  <c r="H19" i="12" s="1"/>
  <c r="AF45" i="11"/>
  <c r="AG45" i="11"/>
  <c r="AG19" i="11"/>
  <c r="AF19" i="11"/>
  <c r="AF25" i="11"/>
  <c r="AG25" i="11"/>
  <c r="AG46" i="11"/>
  <c r="AF46" i="11"/>
  <c r="AG30" i="11"/>
  <c r="AF30" i="11"/>
  <c r="AG52" i="11"/>
  <c r="AF52" i="11"/>
  <c r="AG68" i="11"/>
  <c r="AF68" i="11"/>
  <c r="AG23" i="11"/>
  <c r="AF23" i="11"/>
  <c r="AG72" i="11"/>
  <c r="AF72" i="11"/>
  <c r="AG73" i="11"/>
  <c r="AF73" i="11"/>
  <c r="AG20" i="11"/>
  <c r="AF20" i="11"/>
  <c r="AF41" i="11"/>
  <c r="AG41" i="11"/>
  <c r="AF61" i="11"/>
  <c r="AG61" i="11"/>
  <c r="AG47" i="11"/>
  <c r="AF47" i="11"/>
  <c r="AF53" i="11"/>
  <c r="AG53" i="11"/>
  <c r="AF69" i="11"/>
  <c r="AG69" i="11"/>
  <c r="AG39" i="11"/>
  <c r="AF39" i="11"/>
  <c r="AG16" i="11"/>
  <c r="AF16" i="11"/>
  <c r="AG31" i="11"/>
  <c r="AF31" i="11"/>
  <c r="AG17" i="11"/>
  <c r="AF17" i="11"/>
  <c r="AG65" i="11"/>
  <c r="AF65" i="11"/>
  <c r="AF32" i="11"/>
  <c r="AG32" i="11"/>
  <c r="AF37" i="11"/>
  <c r="AG37" i="11"/>
  <c r="AG27" i="11"/>
  <c r="AF27" i="11"/>
  <c r="AF33" i="11"/>
  <c r="AG33" i="11"/>
  <c r="AG60" i="11"/>
  <c r="AF60" i="11"/>
  <c r="AG76" i="11"/>
  <c r="AF76" i="11"/>
  <c r="AG62" i="11"/>
  <c r="AG63" i="11" s="1"/>
  <c r="AF62" i="11"/>
  <c r="AG48" i="11"/>
  <c r="AF48" i="11"/>
  <c r="AG54" i="11"/>
  <c r="AF54" i="11"/>
  <c r="AG38" i="11"/>
  <c r="AF38" i="11"/>
  <c r="AG44" i="11"/>
  <c r="AF44" i="11"/>
  <c r="AG55" i="11"/>
  <c r="AF55" i="11"/>
  <c r="AH16" i="11"/>
  <c r="AH32" i="11"/>
  <c r="AH48" i="11"/>
  <c r="AE24" i="11"/>
  <c r="J19" i="12" s="1"/>
  <c r="N19" i="12" s="1"/>
  <c r="O19" i="12" s="1"/>
  <c r="AE40" i="11"/>
  <c r="Z19" i="12" s="1"/>
  <c r="AB19" i="12" s="1"/>
  <c r="AC19" i="12" s="1"/>
  <c r="AF51" i="11"/>
  <c r="AF59" i="11"/>
  <c r="AF67" i="11"/>
  <c r="AF75" i="11"/>
  <c r="AH23" i="11"/>
  <c r="AH39" i="11"/>
  <c r="AH55" i="11"/>
  <c r="AF58" i="11"/>
  <c r="AF66" i="11"/>
  <c r="AF74" i="11"/>
  <c r="AG17" i="10"/>
  <c r="AF17" i="10"/>
  <c r="AG23" i="10"/>
  <c r="AF23" i="10"/>
  <c r="AG62" i="10"/>
  <c r="AF62" i="10"/>
  <c r="AG73" i="10"/>
  <c r="AF73" i="10"/>
  <c r="AG68" i="10"/>
  <c r="AF68" i="10"/>
  <c r="AG55" i="10"/>
  <c r="AF55" i="10"/>
  <c r="AG74" i="10"/>
  <c r="AF74" i="10"/>
  <c r="AG19" i="10"/>
  <c r="AF19" i="10"/>
  <c r="AG47" i="10"/>
  <c r="AF47" i="10"/>
  <c r="AG58" i="10"/>
  <c r="AF58" i="10"/>
  <c r="AG16" i="10"/>
  <c r="AF16" i="10"/>
  <c r="AG34" i="10"/>
  <c r="AF34" i="10"/>
  <c r="AG25" i="10"/>
  <c r="AF25" i="10"/>
  <c r="AF18" i="10"/>
  <c r="AG18" i="10"/>
  <c r="AG31" i="10"/>
  <c r="AF31" i="10"/>
  <c r="AG52" i="10"/>
  <c r="AF52" i="10"/>
  <c r="AG26" i="10"/>
  <c r="AF26" i="10"/>
  <c r="AG65" i="10"/>
  <c r="AF65" i="10"/>
  <c r="AG33" i="10"/>
  <c r="AF33" i="10"/>
  <c r="AG39" i="10"/>
  <c r="AF39" i="10"/>
  <c r="AG41" i="10"/>
  <c r="AF41" i="10"/>
  <c r="AG76" i="10"/>
  <c r="AF76" i="10"/>
  <c r="AG27" i="10"/>
  <c r="AF27" i="10"/>
  <c r="AG44" i="10"/>
  <c r="AF44" i="10"/>
  <c r="AG60" i="10"/>
  <c r="AF60" i="10"/>
  <c r="AG66" i="10"/>
  <c r="AF66" i="10"/>
  <c r="AE24" i="10"/>
  <c r="J18" i="12" s="1"/>
  <c r="N18" i="12" s="1"/>
  <c r="O18" i="12" s="1"/>
  <c r="AE32" i="10"/>
  <c r="R18" i="12" s="1"/>
  <c r="U18" i="12" s="1"/>
  <c r="V18" i="12" s="1"/>
  <c r="AE48" i="10"/>
  <c r="AF51" i="10"/>
  <c r="AF59" i="10"/>
  <c r="AF67" i="10"/>
  <c r="AF75" i="10"/>
  <c r="AF30" i="10"/>
  <c r="AF38" i="10"/>
  <c r="AF46" i="10"/>
  <c r="AF54" i="10"/>
  <c r="AF20" i="10"/>
  <c r="AF72" i="10"/>
  <c r="AG39" i="9"/>
  <c r="AF39" i="9"/>
  <c r="AG17" i="9"/>
  <c r="AF17" i="9"/>
  <c r="AF34" i="9"/>
  <c r="AG34" i="9"/>
  <c r="AG18" i="9"/>
  <c r="AF18" i="9"/>
  <c r="AG73" i="9"/>
  <c r="AF73" i="9"/>
  <c r="AG52" i="9"/>
  <c r="AF52" i="9"/>
  <c r="AG68" i="9"/>
  <c r="AF68" i="9"/>
  <c r="AG19" i="9"/>
  <c r="AF19" i="9"/>
  <c r="AG47" i="9"/>
  <c r="AF47" i="9"/>
  <c r="AG58" i="9"/>
  <c r="AF58" i="9"/>
  <c r="AG74" i="9"/>
  <c r="AF74" i="9"/>
  <c r="AG23" i="9"/>
  <c r="AF23" i="9"/>
  <c r="AF53" i="9"/>
  <c r="AG53" i="9"/>
  <c r="AG25" i="9"/>
  <c r="AF25" i="9"/>
  <c r="AG31" i="9"/>
  <c r="AF31" i="9"/>
  <c r="AF26" i="9"/>
  <c r="AG26" i="9"/>
  <c r="AG65" i="9"/>
  <c r="AF65" i="9"/>
  <c r="AG27" i="9"/>
  <c r="AF27" i="9"/>
  <c r="AG32" i="9"/>
  <c r="AF32" i="9"/>
  <c r="AG44" i="9"/>
  <c r="AF44" i="9"/>
  <c r="AG60" i="9"/>
  <c r="AF60" i="9"/>
  <c r="AG76" i="9"/>
  <c r="AF76" i="9"/>
  <c r="AG33" i="9"/>
  <c r="AF33" i="9"/>
  <c r="AG55" i="9"/>
  <c r="AF55" i="9"/>
  <c r="AG66" i="9"/>
  <c r="AF66" i="9"/>
  <c r="AE24" i="9"/>
  <c r="J17" i="12" s="1"/>
  <c r="N17" i="12" s="1"/>
  <c r="O17" i="12" s="1"/>
  <c r="AE40" i="9"/>
  <c r="Z17" i="12" s="1"/>
  <c r="AF51" i="9"/>
  <c r="AF67" i="9"/>
  <c r="AF75" i="9"/>
  <c r="AF30" i="9"/>
  <c r="AF46" i="9"/>
  <c r="AF54" i="9"/>
  <c r="AF62" i="9"/>
  <c r="AF20" i="9"/>
  <c r="AF72" i="9"/>
  <c r="AF77" i="9" s="1"/>
  <c r="AG31" i="8"/>
  <c r="AF31" i="8"/>
  <c r="AG72" i="8"/>
  <c r="AF72" i="8"/>
  <c r="AG33" i="8"/>
  <c r="AF33" i="8"/>
  <c r="AG74" i="8"/>
  <c r="AF74" i="8"/>
  <c r="AG34" i="8"/>
  <c r="AF34" i="8"/>
  <c r="AG19" i="8"/>
  <c r="AF19" i="8"/>
  <c r="AG55" i="8"/>
  <c r="AF55" i="8"/>
  <c r="AG65" i="8"/>
  <c r="AF65" i="8"/>
  <c r="AG17" i="8"/>
  <c r="AF17" i="8"/>
  <c r="AG41" i="8"/>
  <c r="AF41" i="8"/>
  <c r="AG52" i="8"/>
  <c r="AF52" i="8"/>
  <c r="AG66" i="8"/>
  <c r="AF66" i="8"/>
  <c r="AG76" i="8"/>
  <c r="AF76" i="8"/>
  <c r="AG27" i="8"/>
  <c r="AF27" i="8"/>
  <c r="AE16" i="8"/>
  <c r="B16" i="12" s="1"/>
  <c r="AE24" i="8"/>
  <c r="J16" i="12" s="1"/>
  <c r="AE32" i="8"/>
  <c r="R16" i="12" s="1"/>
  <c r="AE40" i="8"/>
  <c r="Z16" i="12" s="1"/>
  <c r="AE48" i="8"/>
  <c r="AF51" i="8"/>
  <c r="AF59" i="8"/>
  <c r="AF67" i="8"/>
  <c r="AF75" i="8"/>
  <c r="AF30" i="8"/>
  <c r="AF38" i="8"/>
  <c r="AF46" i="8"/>
  <c r="AF54" i="8"/>
  <c r="AF62" i="8"/>
  <c r="AF20" i="8"/>
  <c r="AG25" i="7"/>
  <c r="AF25" i="7"/>
  <c r="AF45" i="7"/>
  <c r="AG45" i="7"/>
  <c r="AG73" i="7"/>
  <c r="AF73" i="7"/>
  <c r="AG68" i="7"/>
  <c r="AF68" i="7"/>
  <c r="AG26" i="7"/>
  <c r="AF26" i="7"/>
  <c r="AG74" i="7"/>
  <c r="AF74" i="7"/>
  <c r="AG33" i="7"/>
  <c r="AF33" i="7"/>
  <c r="AF62" i="7"/>
  <c r="AG62" i="7"/>
  <c r="AF69" i="7"/>
  <c r="AG69" i="7"/>
  <c r="AF61" i="7"/>
  <c r="AG61" i="7"/>
  <c r="AF37" i="7"/>
  <c r="AG37" i="7"/>
  <c r="AG65" i="7"/>
  <c r="AF65" i="7"/>
  <c r="AF53" i="7"/>
  <c r="AG53" i="7"/>
  <c r="AG34" i="7"/>
  <c r="AF34" i="7"/>
  <c r="AG60" i="7"/>
  <c r="AF60" i="7"/>
  <c r="AG66" i="7"/>
  <c r="AF66" i="7"/>
  <c r="AG76" i="7"/>
  <c r="AF76" i="7"/>
  <c r="AG52" i="7"/>
  <c r="AF52" i="7"/>
  <c r="AG41" i="7"/>
  <c r="AF41" i="7"/>
  <c r="AG18" i="7"/>
  <c r="AF18" i="7"/>
  <c r="AE16" i="7"/>
  <c r="B15" i="12" s="1"/>
  <c r="AE24" i="7"/>
  <c r="J15" i="12" s="1"/>
  <c r="AF75" i="7"/>
  <c r="AF19" i="7"/>
  <c r="AF27" i="7"/>
  <c r="AE31" i="7"/>
  <c r="Q15" i="12" s="1"/>
  <c r="AE47" i="7"/>
  <c r="AG15" i="12" s="1"/>
  <c r="AF20" i="7"/>
  <c r="AF72" i="7"/>
  <c r="AH16" i="10"/>
  <c r="AH18" i="10"/>
  <c r="AH20" i="10"/>
  <c r="AH38" i="10"/>
  <c r="AH40" i="10"/>
  <c r="AH58" i="10"/>
  <c r="AH60" i="10"/>
  <c r="AH62" i="10"/>
  <c r="AE75" i="1"/>
  <c r="AE61" i="1"/>
  <c r="AU14" i="12" s="1"/>
  <c r="AE47" i="1"/>
  <c r="AE40" i="1"/>
  <c r="AE33" i="1"/>
  <c r="AE26" i="1"/>
  <c r="AE19" i="1"/>
  <c r="AH16" i="1"/>
  <c r="AH17" i="1"/>
  <c r="AH18" i="1"/>
  <c r="AH20" i="1"/>
  <c r="AD21" i="1"/>
  <c r="AD22" i="1"/>
  <c r="AH23" i="1"/>
  <c r="AH24" i="1"/>
  <c r="AH25" i="1"/>
  <c r="AD28" i="1"/>
  <c r="AD29" i="1"/>
  <c r="AD35" i="1"/>
  <c r="AD36" i="1"/>
  <c r="AH38" i="1"/>
  <c r="AD42" i="1"/>
  <c r="AD43" i="1"/>
  <c r="AD49" i="1"/>
  <c r="AD50" i="1"/>
  <c r="AD56" i="1"/>
  <c r="AD57" i="1"/>
  <c r="AD63" i="1"/>
  <c r="AD64" i="1"/>
  <c r="AD70" i="1"/>
  <c r="AD71" i="1"/>
  <c r="AC17" i="1"/>
  <c r="AC18" i="1"/>
  <c r="AC20" i="1"/>
  <c r="AC21" i="1"/>
  <c r="AC22" i="1"/>
  <c r="AC23" i="1"/>
  <c r="AC24" i="1"/>
  <c r="AC25" i="1"/>
  <c r="AC27" i="1"/>
  <c r="AC28" i="1"/>
  <c r="AC29" i="1"/>
  <c r="AC30" i="1"/>
  <c r="AC31" i="1"/>
  <c r="AC32" i="1"/>
  <c r="AC34" i="1"/>
  <c r="AC35" i="1"/>
  <c r="AC36" i="1"/>
  <c r="AC37" i="1"/>
  <c r="AC38" i="1"/>
  <c r="AC39" i="1"/>
  <c r="AC41" i="1"/>
  <c r="AC42" i="1"/>
  <c r="AC43" i="1"/>
  <c r="AC44" i="1"/>
  <c r="AC45" i="1"/>
  <c r="AC46" i="1"/>
  <c r="AC48" i="1"/>
  <c r="AE48" i="1" s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2" i="1"/>
  <c r="AC63" i="1"/>
  <c r="AC64" i="1"/>
  <c r="AC65" i="1"/>
  <c r="AC66" i="1"/>
  <c r="AC67" i="1"/>
  <c r="AC68" i="1"/>
  <c r="AC69" i="1"/>
  <c r="AC70" i="1"/>
  <c r="AC71" i="1"/>
  <c r="AC72" i="1"/>
  <c r="AE72" i="1" s="1"/>
  <c r="BF14" i="12" s="1"/>
  <c r="AC73" i="1"/>
  <c r="AC74" i="1"/>
  <c r="AC76" i="1"/>
  <c r="AC16" i="1"/>
  <c r="AG48" i="7" l="1"/>
  <c r="AF48" i="7"/>
  <c r="AG77" i="10"/>
  <c r="C77" i="10" s="1"/>
  <c r="AU20" i="12"/>
  <c r="AG56" i="11"/>
  <c r="C56" i="11" s="1"/>
  <c r="AF56" i="10"/>
  <c r="AG35" i="11"/>
  <c r="C35" i="11" s="1"/>
  <c r="AU17" i="12"/>
  <c r="AF61" i="9"/>
  <c r="AG61" i="9"/>
  <c r="AS17" i="12"/>
  <c r="AW17" i="12" s="1"/>
  <c r="AX17" i="12" s="1"/>
  <c r="AG59" i="9"/>
  <c r="AF59" i="9"/>
  <c r="BG16" i="12"/>
  <c r="AG73" i="8"/>
  <c r="AG77" i="8" s="1"/>
  <c r="C77" i="8" s="1"/>
  <c r="AF73" i="8"/>
  <c r="AF77" i="8" s="1"/>
  <c r="B77" i="8" s="1"/>
  <c r="BC18" i="12"/>
  <c r="AF69" i="10"/>
  <c r="AF70" i="10" s="1"/>
  <c r="B70" i="10" s="1"/>
  <c r="AG69" i="10"/>
  <c r="AG70" i="10" s="1"/>
  <c r="C70" i="10" s="1"/>
  <c r="AU18" i="12"/>
  <c r="AF61" i="10"/>
  <c r="AF63" i="10" s="1"/>
  <c r="B63" i="10" s="1"/>
  <c r="AG61" i="10"/>
  <c r="AG63" i="10" s="1"/>
  <c r="C63" i="10" s="1"/>
  <c r="AM18" i="12"/>
  <c r="AF53" i="10"/>
  <c r="AG53" i="10"/>
  <c r="AG56" i="10" s="1"/>
  <c r="AG41" i="9"/>
  <c r="AF41" i="9"/>
  <c r="AE18" i="12"/>
  <c r="AF45" i="10"/>
  <c r="AG45" i="10"/>
  <c r="Z18" i="12"/>
  <c r="AG40" i="10"/>
  <c r="AF40" i="10"/>
  <c r="W18" i="12"/>
  <c r="AF37" i="10"/>
  <c r="AF42" i="10" s="1"/>
  <c r="AG37" i="10"/>
  <c r="AG48" i="9"/>
  <c r="AF48" i="9"/>
  <c r="AE17" i="12"/>
  <c r="AF45" i="9"/>
  <c r="AG45" i="9"/>
  <c r="I15" i="12"/>
  <c r="N15" i="12" s="1"/>
  <c r="O15" i="12" s="1"/>
  <c r="AF23" i="7"/>
  <c r="AG23" i="7"/>
  <c r="AR16" i="12"/>
  <c r="AG58" i="8"/>
  <c r="AF58" i="8"/>
  <c r="AG16" i="12"/>
  <c r="AF47" i="8"/>
  <c r="AG47" i="8"/>
  <c r="AE16" i="12"/>
  <c r="AF45" i="8"/>
  <c r="AG45" i="8"/>
  <c r="AO15" i="12"/>
  <c r="AG55" i="7"/>
  <c r="AD15" i="12"/>
  <c r="AF44" i="7"/>
  <c r="AG44" i="7"/>
  <c r="C15" i="12"/>
  <c r="AF17" i="7"/>
  <c r="BI14" i="12"/>
  <c r="AG75" i="1"/>
  <c r="AF75" i="1"/>
  <c r="BI20" i="12"/>
  <c r="AF55" i="7"/>
  <c r="AF56" i="7" s="1"/>
  <c r="B56" i="7" s="1"/>
  <c r="AI15" i="12"/>
  <c r="AJ15" i="12" s="1"/>
  <c r="AG39" i="7"/>
  <c r="AG42" i="7" s="1"/>
  <c r="C42" i="7" s="1"/>
  <c r="AF39" i="7"/>
  <c r="AG17" i="7"/>
  <c r="G15" i="12"/>
  <c r="H15" i="12" s="1"/>
  <c r="AG77" i="9"/>
  <c r="BC17" i="12"/>
  <c r="BD17" i="12" s="1"/>
  <c r="BE17" i="12" s="1"/>
  <c r="AF69" i="9"/>
  <c r="AG69" i="9"/>
  <c r="AG70" i="9"/>
  <c r="C70" i="9" s="1"/>
  <c r="AK17" i="12"/>
  <c r="AP17" i="12" s="1"/>
  <c r="AQ17" i="12" s="1"/>
  <c r="AG51" i="9"/>
  <c r="AG56" i="9" s="1"/>
  <c r="C56" i="9" s="1"/>
  <c r="AF49" i="9"/>
  <c r="B49" i="9" s="1"/>
  <c r="W17" i="12"/>
  <c r="AB17" i="12" s="1"/>
  <c r="AC17" i="12" s="1"/>
  <c r="AF37" i="9"/>
  <c r="AG37" i="9"/>
  <c r="AG35" i="9"/>
  <c r="AG16" i="9"/>
  <c r="B17" i="12"/>
  <c r="G17" i="12" s="1"/>
  <c r="H17" i="12" s="1"/>
  <c r="BB16" i="12"/>
  <c r="BD16" i="12" s="1"/>
  <c r="BE16" i="12" s="1"/>
  <c r="AG68" i="8"/>
  <c r="AG70" i="8" s="1"/>
  <c r="C70" i="8" s="1"/>
  <c r="AF68" i="8"/>
  <c r="AF70" i="8" s="1"/>
  <c r="B70" i="8" s="1"/>
  <c r="AT16" i="12"/>
  <c r="AW16" i="12" s="1"/>
  <c r="AX16" i="12" s="1"/>
  <c r="AG60" i="8"/>
  <c r="AG63" i="8" s="1"/>
  <c r="C63" i="8" s="1"/>
  <c r="AF60" i="8"/>
  <c r="AF63" i="8" s="1"/>
  <c r="B63" i="8" s="1"/>
  <c r="AD16" i="12"/>
  <c r="AI16" i="12" s="1"/>
  <c r="AJ16" i="12" s="1"/>
  <c r="AG44" i="8"/>
  <c r="AG49" i="8" s="1"/>
  <c r="C49" i="8" s="1"/>
  <c r="Y16" i="12"/>
  <c r="AB16" i="12" s="1"/>
  <c r="AC16" i="12" s="1"/>
  <c r="AG39" i="8"/>
  <c r="AF39" i="8"/>
  <c r="I16" i="12"/>
  <c r="AG23" i="8"/>
  <c r="AF23" i="8"/>
  <c r="K16" i="12"/>
  <c r="AG25" i="8"/>
  <c r="D16" i="12"/>
  <c r="G16" i="12" s="1"/>
  <c r="H16" i="12" s="1"/>
  <c r="AG18" i="8"/>
  <c r="AG56" i="8"/>
  <c r="AF56" i="8"/>
  <c r="B56" i="8" s="1"/>
  <c r="AF44" i="8"/>
  <c r="AG37" i="8"/>
  <c r="AF37" i="8"/>
  <c r="AG77" i="7"/>
  <c r="C77" i="7" s="1"/>
  <c r="AF58" i="7"/>
  <c r="AF63" i="7" s="1"/>
  <c r="B63" i="7" s="1"/>
  <c r="AG58" i="7"/>
  <c r="AG63" i="7" s="1"/>
  <c r="C63" i="7" s="1"/>
  <c r="AR15" i="12"/>
  <c r="AW15" i="12" s="1"/>
  <c r="AX15" i="12" s="1"/>
  <c r="AG56" i="7"/>
  <c r="C56" i="7" s="1"/>
  <c r="AG61" i="1"/>
  <c r="AF61" i="1"/>
  <c r="U15" i="12"/>
  <c r="V15" i="12" s="1"/>
  <c r="U16" i="12"/>
  <c r="V16" i="12" s="1"/>
  <c r="AG47" i="1"/>
  <c r="AG14" i="12"/>
  <c r="AG20" i="12" s="1"/>
  <c r="AF40" i="1"/>
  <c r="Z14" i="12"/>
  <c r="Z20" i="12" s="1"/>
  <c r="AF33" i="1"/>
  <c r="S14" i="12"/>
  <c r="S20" i="12" s="1"/>
  <c r="AG33" i="1"/>
  <c r="L16" i="12"/>
  <c r="AG26" i="8"/>
  <c r="AF26" i="8"/>
  <c r="AF26" i="1"/>
  <c r="L14" i="12"/>
  <c r="AG19" i="1"/>
  <c r="E14" i="12"/>
  <c r="E20" i="12" s="1"/>
  <c r="AF16" i="9"/>
  <c r="AF21" i="9" s="1"/>
  <c r="AF24" i="11"/>
  <c r="AG24" i="11"/>
  <c r="AF35" i="11"/>
  <c r="B35" i="11" s="1"/>
  <c r="AF63" i="11"/>
  <c r="AF70" i="11"/>
  <c r="B70" i="11" s="1"/>
  <c r="AG70" i="11"/>
  <c r="C70" i="11" s="1"/>
  <c r="AF77" i="11"/>
  <c r="AF49" i="11"/>
  <c r="B49" i="11" s="1"/>
  <c r="AG77" i="11"/>
  <c r="C77" i="11" s="1"/>
  <c r="AG49" i="11"/>
  <c r="AF28" i="11"/>
  <c r="B28" i="11" s="1"/>
  <c r="AF56" i="11"/>
  <c r="AF21" i="11"/>
  <c r="AG28" i="11"/>
  <c r="C28" i="11" s="1"/>
  <c r="AG40" i="11"/>
  <c r="AG42" i="11" s="1"/>
  <c r="C42" i="11" s="1"/>
  <c r="AF40" i="11"/>
  <c r="AF42" i="11" s="1"/>
  <c r="B42" i="11" s="1"/>
  <c r="AG21" i="11"/>
  <c r="AG24" i="10"/>
  <c r="AF24" i="10"/>
  <c r="AF28" i="10"/>
  <c r="B28" i="10" s="1"/>
  <c r="AF21" i="10"/>
  <c r="AG28" i="10"/>
  <c r="C28" i="10" s="1"/>
  <c r="AF77" i="10"/>
  <c r="AG21" i="10"/>
  <c r="C21" i="10" s="1"/>
  <c r="AG48" i="10"/>
  <c r="AG49" i="10" s="1"/>
  <c r="C49" i="10" s="1"/>
  <c r="AF48" i="10"/>
  <c r="AF49" i="10" s="1"/>
  <c r="B49" i="10" s="1"/>
  <c r="AG32" i="10"/>
  <c r="AG35" i="10" s="1"/>
  <c r="C35" i="10" s="1"/>
  <c r="AF32" i="10"/>
  <c r="AF35" i="10" s="1"/>
  <c r="B35" i="10" s="1"/>
  <c r="AG42" i="10"/>
  <c r="C42" i="10" s="1"/>
  <c r="AG24" i="9"/>
  <c r="AF24" i="9"/>
  <c r="AF56" i="9"/>
  <c r="B56" i="9" s="1"/>
  <c r="AF63" i="9"/>
  <c r="AG40" i="9"/>
  <c r="AF40" i="9"/>
  <c r="AG63" i="9"/>
  <c r="C63" i="9" s="1"/>
  <c r="AF70" i="9"/>
  <c r="B70" i="9" s="1"/>
  <c r="AF28" i="9"/>
  <c r="B28" i="9" s="1"/>
  <c r="AG28" i="9"/>
  <c r="C28" i="9" s="1"/>
  <c r="AG49" i="9"/>
  <c r="C49" i="9" s="1"/>
  <c r="AF35" i="9"/>
  <c r="B35" i="9" s="1"/>
  <c r="AG21" i="9"/>
  <c r="AG40" i="8"/>
  <c r="AF40" i="8"/>
  <c r="AG48" i="8"/>
  <c r="AF48" i="8"/>
  <c r="AG32" i="8"/>
  <c r="AG35" i="8" s="1"/>
  <c r="C35" i="8" s="1"/>
  <c r="AF32" i="8"/>
  <c r="AF35" i="8" s="1"/>
  <c r="B35" i="8" s="1"/>
  <c r="AG24" i="8"/>
  <c r="AF24" i="8"/>
  <c r="AG16" i="8"/>
  <c r="AF16" i="8"/>
  <c r="AF21" i="8" s="1"/>
  <c r="B21" i="8" s="1"/>
  <c r="AG70" i="7"/>
  <c r="C70" i="7" s="1"/>
  <c r="AF77" i="7"/>
  <c r="B77" i="7" s="1"/>
  <c r="AF47" i="7"/>
  <c r="AF49" i="7" s="1"/>
  <c r="B49" i="7" s="1"/>
  <c r="AG47" i="7"/>
  <c r="AG49" i="7" s="1"/>
  <c r="C49" i="7" s="1"/>
  <c r="AG16" i="7"/>
  <c r="AG21" i="7" s="1"/>
  <c r="AF16" i="7"/>
  <c r="AF21" i="7" s="1"/>
  <c r="B21" i="7" s="1"/>
  <c r="AF31" i="7"/>
  <c r="AF35" i="7" s="1"/>
  <c r="B35" i="7" s="1"/>
  <c r="AG31" i="7"/>
  <c r="AG35" i="7" s="1"/>
  <c r="C35" i="7" s="1"/>
  <c r="AG24" i="7"/>
  <c r="AG28" i="7" s="1"/>
  <c r="C28" i="7" s="1"/>
  <c r="AF24" i="7"/>
  <c r="AF70" i="7"/>
  <c r="B70" i="7" s="1"/>
  <c r="AF42" i="7"/>
  <c r="B42" i="7" s="1"/>
  <c r="AF28" i="7"/>
  <c r="B28" i="7" s="1"/>
  <c r="C63" i="11"/>
  <c r="B63" i="11"/>
  <c r="B77" i="11"/>
  <c r="C49" i="11"/>
  <c r="B56" i="11"/>
  <c r="B42" i="10"/>
  <c r="C56" i="10"/>
  <c r="B56" i="10"/>
  <c r="B77" i="10"/>
  <c r="B63" i="9"/>
  <c r="C35" i="9"/>
  <c r="B77" i="9"/>
  <c r="C77" i="9"/>
  <c r="C56" i="8"/>
  <c r="AE59" i="1"/>
  <c r="AS14" i="12" s="1"/>
  <c r="AS20" i="12" s="1"/>
  <c r="AE45" i="1"/>
  <c r="AE14" i="12" s="1"/>
  <c r="AE20" i="12" s="1"/>
  <c r="AE46" i="1"/>
  <c r="AF14" i="12" s="1"/>
  <c r="AF20" i="12" s="1"/>
  <c r="AF47" i="1"/>
  <c r="AG40" i="1"/>
  <c r="AE31" i="1"/>
  <c r="AG26" i="1"/>
  <c r="AF19" i="1"/>
  <c r="AG72" i="1"/>
  <c r="AF72" i="1"/>
  <c r="AE55" i="1"/>
  <c r="AO14" i="12" s="1"/>
  <c r="AO20" i="12" s="1"/>
  <c r="AF48" i="1"/>
  <c r="AG48" i="1"/>
  <c r="AF45" i="1"/>
  <c r="AG45" i="1"/>
  <c r="AE24" i="1"/>
  <c r="J14" i="12" s="1"/>
  <c r="J20" i="12" s="1"/>
  <c r="AE73" i="1"/>
  <c r="BG14" i="12" s="1"/>
  <c r="AE62" i="1"/>
  <c r="AV14" i="12" s="1"/>
  <c r="AV20" i="12" s="1"/>
  <c r="AE60" i="1"/>
  <c r="AT14" i="12" s="1"/>
  <c r="AE68" i="1"/>
  <c r="BB14" i="12" s="1"/>
  <c r="AE66" i="1"/>
  <c r="AZ14" i="12" s="1"/>
  <c r="AZ20" i="12" s="1"/>
  <c r="AE65" i="1"/>
  <c r="AY14" i="12" s="1"/>
  <c r="AE76" i="1"/>
  <c r="BJ14" i="12" s="1"/>
  <c r="BJ20" i="12" s="1"/>
  <c r="AE58" i="1"/>
  <c r="AR14" i="12" s="1"/>
  <c r="AE74" i="1"/>
  <c r="BH14" i="12" s="1"/>
  <c r="BH20" i="12" s="1"/>
  <c r="AE53" i="1"/>
  <c r="AM14" i="12" s="1"/>
  <c r="AM20" i="12" s="1"/>
  <c r="AE39" i="1"/>
  <c r="Y14" i="12" s="1"/>
  <c r="Y20" i="12" s="1"/>
  <c r="AE25" i="1"/>
  <c r="K14" i="12" s="1"/>
  <c r="K20" i="12" s="1"/>
  <c r="AE52" i="1"/>
  <c r="AL14" i="12" s="1"/>
  <c r="AL20" i="12" s="1"/>
  <c r="AE38" i="1"/>
  <c r="X14" i="12" s="1"/>
  <c r="X20" i="12" s="1"/>
  <c r="AE51" i="1"/>
  <c r="AK14" i="12" s="1"/>
  <c r="AE37" i="1"/>
  <c r="W14" i="12" s="1"/>
  <c r="AE34" i="1"/>
  <c r="AE32" i="1"/>
  <c r="R14" i="12" s="1"/>
  <c r="R20" i="12" s="1"/>
  <c r="AE44" i="1"/>
  <c r="AD14" i="12" s="1"/>
  <c r="AE30" i="1"/>
  <c r="P14" i="12" s="1"/>
  <c r="AE69" i="1"/>
  <c r="BC14" i="12" s="1"/>
  <c r="BC20" i="12" s="1"/>
  <c r="AE67" i="1"/>
  <c r="BA14" i="12" s="1"/>
  <c r="BA20" i="12" s="1"/>
  <c r="AE54" i="1"/>
  <c r="AN14" i="12" s="1"/>
  <c r="AN20" i="12" s="1"/>
  <c r="AE41" i="1"/>
  <c r="AE27" i="1"/>
  <c r="AE23" i="1"/>
  <c r="I14" i="12" s="1"/>
  <c r="AE16" i="1"/>
  <c r="B14" i="12" s="1"/>
  <c r="AE18" i="1"/>
  <c r="D14" i="12" s="1"/>
  <c r="D20" i="12" s="1"/>
  <c r="AE20" i="1"/>
  <c r="AE17" i="1"/>
  <c r="C14" i="12" s="1"/>
  <c r="C20" i="12" s="1"/>
  <c r="AF49" i="8" l="1"/>
  <c r="B49" i="8" s="1"/>
  <c r="AG46" i="1"/>
  <c r="AF46" i="1"/>
  <c r="AG42" i="9"/>
  <c r="AF42" i="9"/>
  <c r="BB20" i="12"/>
  <c r="AT20" i="12"/>
  <c r="AF42" i="8"/>
  <c r="B42" i="8" s="1"/>
  <c r="N16" i="12"/>
  <c r="O16" i="12" s="1"/>
  <c r="AF28" i="8"/>
  <c r="AG28" i="8"/>
  <c r="C28" i="8" s="1"/>
  <c r="AG21" i="8"/>
  <c r="AG42" i="8"/>
  <c r="C42" i="8" s="1"/>
  <c r="BK14" i="12"/>
  <c r="BG20" i="12"/>
  <c r="AY20" i="12"/>
  <c r="BD14" i="12"/>
  <c r="AG59" i="1"/>
  <c r="AF59" i="1"/>
  <c r="AR20" i="12"/>
  <c r="AW14" i="12"/>
  <c r="AK20" i="12"/>
  <c r="AP14" i="12"/>
  <c r="I20" i="12"/>
  <c r="N14" i="12"/>
  <c r="O14" i="12" s="1"/>
  <c r="B20" i="12"/>
  <c r="G14" i="12"/>
  <c r="P20" i="12"/>
  <c r="AD20" i="12"/>
  <c r="AI14" i="12"/>
  <c r="W20" i="12"/>
  <c r="AB14" i="12"/>
  <c r="L20" i="12"/>
  <c r="AF31" i="1"/>
  <c r="Q14" i="12"/>
  <c r="Q20" i="12" s="1"/>
  <c r="AG31" i="1"/>
  <c r="AG79" i="11"/>
  <c r="AF79" i="11"/>
  <c r="AG79" i="10"/>
  <c r="AF79" i="10"/>
  <c r="AF79" i="7"/>
  <c r="AG79" i="7"/>
  <c r="C21" i="11"/>
  <c r="B21" i="11"/>
  <c r="B21" i="10"/>
  <c r="B21" i="9"/>
  <c r="C21" i="9"/>
  <c r="C21" i="7"/>
  <c r="AF68" i="1"/>
  <c r="AG68" i="1"/>
  <c r="AG67" i="1"/>
  <c r="AF67" i="1"/>
  <c r="AG53" i="1"/>
  <c r="AF53" i="1"/>
  <c r="AF69" i="1"/>
  <c r="AG69" i="1"/>
  <c r="AG74" i="1"/>
  <c r="AF74" i="1"/>
  <c r="AF30" i="1"/>
  <c r="AG30" i="1"/>
  <c r="AG58" i="1"/>
  <c r="AF58" i="1"/>
  <c r="AG44" i="1"/>
  <c r="AF44" i="1"/>
  <c r="AF76" i="1"/>
  <c r="AG76" i="1"/>
  <c r="AG17" i="1"/>
  <c r="AF17" i="1"/>
  <c r="AG32" i="1"/>
  <c r="AF32" i="1"/>
  <c r="AG65" i="1"/>
  <c r="AF65" i="1"/>
  <c r="AG20" i="1"/>
  <c r="AF20" i="1"/>
  <c r="AF18" i="1"/>
  <c r="AG18" i="1"/>
  <c r="AG62" i="1"/>
  <c r="AF62" i="1"/>
  <c r="AG73" i="1"/>
  <c r="AF73" i="1"/>
  <c r="AG55" i="1"/>
  <c r="AF55" i="1"/>
  <c r="AG34" i="1"/>
  <c r="AF34" i="1"/>
  <c r="AF37" i="1"/>
  <c r="AG37" i="1"/>
  <c r="AG51" i="1"/>
  <c r="AF51" i="1"/>
  <c r="AG60" i="1"/>
  <c r="AF60" i="1"/>
  <c r="AF23" i="1"/>
  <c r="AG23" i="1"/>
  <c r="AG38" i="1"/>
  <c r="AF38" i="1"/>
  <c r="AF27" i="1"/>
  <c r="AG27" i="1"/>
  <c r="AG52" i="1"/>
  <c r="AF52" i="1"/>
  <c r="AG41" i="1"/>
  <c r="AF41" i="1"/>
  <c r="AG25" i="1"/>
  <c r="AF25" i="1"/>
  <c r="AG24" i="1"/>
  <c r="AF24" i="1"/>
  <c r="AG54" i="1"/>
  <c r="AF54" i="1"/>
  <c r="AG39" i="1"/>
  <c r="AF39" i="1"/>
  <c r="AG66" i="1"/>
  <c r="AF66" i="1"/>
  <c r="AG16" i="1"/>
  <c r="AF16" i="1"/>
  <c r="AG49" i="1" l="1"/>
  <c r="C49" i="1" s="1"/>
  <c r="AF49" i="1"/>
  <c r="B49" i="1" s="1"/>
  <c r="AP20" i="12"/>
  <c r="AQ20" i="12" s="1"/>
  <c r="AQ14" i="12"/>
  <c r="AI20" i="12"/>
  <c r="AJ20" i="12" s="1"/>
  <c r="AJ14" i="12"/>
  <c r="AB20" i="12"/>
  <c r="AC20" i="12" s="1"/>
  <c r="AC14" i="12"/>
  <c r="C42" i="9"/>
  <c r="AG79" i="9"/>
  <c r="B42" i="9"/>
  <c r="AF79" i="9"/>
  <c r="N20" i="12"/>
  <c r="O20" i="12" s="1"/>
  <c r="B28" i="8"/>
  <c r="AF79" i="8"/>
  <c r="AG79" i="8"/>
  <c r="C21" i="8"/>
  <c r="BL14" i="12"/>
  <c r="BK20" i="12"/>
  <c r="BL20" i="12" s="1"/>
  <c r="BE14" i="12"/>
  <c r="BD20" i="12"/>
  <c r="BE20" i="12" s="1"/>
  <c r="AX14" i="12"/>
  <c r="AW20" i="12"/>
  <c r="AX20" i="12" s="1"/>
  <c r="U14" i="12"/>
  <c r="G20" i="12"/>
  <c r="H20" i="12" s="1"/>
  <c r="H14" i="12"/>
  <c r="AG70" i="1"/>
  <c r="C70" i="1" s="1"/>
  <c r="AF77" i="1"/>
  <c r="B77" i="1" s="1"/>
  <c r="AF70" i="1"/>
  <c r="B70" i="1" s="1"/>
  <c r="AF35" i="1"/>
  <c r="B35" i="1" s="1"/>
  <c r="AG77" i="1"/>
  <c r="C77" i="1" s="1"/>
  <c r="AG28" i="1"/>
  <c r="C28" i="1" s="1"/>
  <c r="AF28" i="1"/>
  <c r="B28" i="1" s="1"/>
  <c r="AF21" i="1"/>
  <c r="AG21" i="1"/>
  <c r="AG35" i="1"/>
  <c r="C35" i="1" s="1"/>
  <c r="AF56" i="1"/>
  <c r="B56" i="1" s="1"/>
  <c r="AG56" i="1"/>
  <c r="C56" i="1" s="1"/>
  <c r="AG42" i="1"/>
  <c r="C42" i="1" s="1"/>
  <c r="AF42" i="1"/>
  <c r="B42" i="1" s="1"/>
  <c r="AF63" i="1"/>
  <c r="B63" i="1" s="1"/>
  <c r="AG63" i="1"/>
  <c r="C63" i="1" s="1"/>
  <c r="U20" i="12" l="1"/>
  <c r="V20" i="12" s="1"/>
  <c r="V14" i="12"/>
  <c r="AG79" i="1"/>
  <c r="C21" i="1"/>
  <c r="AF79" i="1"/>
  <c r="B21" i="1"/>
</calcChain>
</file>

<file path=xl/sharedStrings.xml><?xml version="1.0" encoding="utf-8"?>
<sst xmlns="http://schemas.openxmlformats.org/spreadsheetml/2006/main" count="652" uniqueCount="89">
  <si>
    <r>
      <rPr>
        <sz val="10"/>
        <rFont val="Bookman Old Style"/>
        <family val="1"/>
      </rPr>
      <t>Indicator</t>
    </r>
  </si>
  <si>
    <r>
      <rPr>
        <sz val="10"/>
        <rFont val="Bookman Old Style"/>
        <family val="1"/>
      </rPr>
      <t>Yes</t>
    </r>
  </si>
  <si>
    <r>
      <rPr>
        <sz val="10"/>
        <rFont val="Bookman Old Style"/>
        <family val="1"/>
      </rPr>
      <t>No</t>
    </r>
  </si>
  <si>
    <r>
      <rPr>
        <sz val="10"/>
        <rFont val="Bookman Old Style"/>
        <family val="1"/>
      </rPr>
      <t>Remarks/Evidence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</si>
  <si>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mapping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(Planned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vs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Taught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vs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Assessed)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conducted</t>
    </r>
  </si>
  <si>
    <r>
      <rPr>
        <sz val="10"/>
        <rFont val="Bookman Old Style"/>
        <family val="1"/>
      </rPr>
      <t>2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All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reflected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lesson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plans</t>
    </r>
  </si>
  <si>
    <r>
      <rPr>
        <sz val="10"/>
        <rFont val="Bookman Old Style"/>
        <family val="1"/>
      </rPr>
      <t>3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Assessments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aligned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with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taught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MELCs</t>
    </r>
  </si>
  <si>
    <r>
      <rPr>
        <sz val="10"/>
        <rFont val="Bookman Old Style"/>
        <family val="1"/>
      </rPr>
      <t>4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High-frequency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NAT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prioritized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</si>
  <si>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Classroom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tests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include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40–50%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HOTS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items</t>
    </r>
  </si>
  <si>
    <r>
      <rPr>
        <sz val="10"/>
        <rFont val="Bookman Old Style"/>
        <family val="1"/>
      </rPr>
      <t>2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Test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items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reflect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application,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analysis,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interpretation</t>
    </r>
  </si>
  <si>
    <r>
      <rPr>
        <sz val="10"/>
        <rFont val="Bookman Old Style"/>
        <family val="1"/>
      </rPr>
      <t>3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NAT-like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test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items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used</t>
    </r>
  </si>
  <si>
    <r>
      <rPr>
        <sz val="10"/>
        <rFont val="Bookman Old Style"/>
        <family val="1"/>
      </rPr>
      <t>4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Item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analysis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after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assessments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</si>
  <si>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Reading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strategies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integrated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all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subjects</t>
    </r>
  </si>
  <si>
    <r>
      <rPr>
        <sz val="10"/>
        <rFont val="Bookman Old Style"/>
        <family val="1"/>
      </rPr>
      <t>2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Vocabulary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pre-taught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before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lessons</t>
    </r>
  </si>
  <si>
    <r>
      <rPr>
        <sz val="10"/>
        <rFont val="Bookman Old Style"/>
        <family val="1"/>
      </rPr>
      <t>3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Learners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explain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answers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words</t>
    </r>
  </si>
  <si>
    <r>
      <rPr>
        <sz val="10"/>
        <rFont val="Bookman Old Style"/>
        <family val="1"/>
      </rPr>
      <t>4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Learners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justify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solutions/answers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</si>
  <si>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Item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analysis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identifies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specific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gaps</t>
    </r>
  </si>
  <si>
    <r>
      <rPr>
        <sz val="10"/>
        <rFont val="Bookman Old Style"/>
        <family val="1"/>
      </rPr>
      <t>2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Learners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grouped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based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skill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gaps</t>
    </r>
  </si>
  <si>
    <r>
      <rPr>
        <sz val="10"/>
        <rFont val="Bookman Old Style"/>
        <family val="1"/>
      </rPr>
      <t>3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Remediation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activities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focused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MELC-based</t>
    </r>
  </si>
  <si>
    <r>
      <rPr>
        <sz val="10"/>
        <rFont val="Bookman Old Style"/>
        <family val="1"/>
      </rPr>
      <t>4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Progress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of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learners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regularly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monitored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</si>
  <si>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Quarterly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review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meetings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conducted</t>
    </r>
  </si>
  <si>
    <r>
      <rPr>
        <sz val="10"/>
        <rFont val="Bookman Old Style"/>
        <family val="1"/>
      </rPr>
      <t>2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LAC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sessions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include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discussion</t>
    </r>
  </si>
  <si>
    <r>
      <rPr>
        <sz val="10"/>
        <rFont val="Bookman Old Style"/>
        <family val="1"/>
      </rPr>
      <t>3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Instruction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adjusted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based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</t>
    </r>
  </si>
  <si>
    <r>
      <rPr>
        <sz val="10"/>
        <rFont val="Bookman Old Style"/>
        <family val="1"/>
      </rPr>
      <t>4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LAC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minutes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reflect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data-based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decisions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</si>
  <si>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clearly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indicate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</si>
  <si>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One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targeted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</t>
    </r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</si>
  <si>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include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embedded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assessment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(rubrics/checks)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</si>
  <si>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School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pre-validation</t>
    </r>
  </si>
  <si>
    <r>
      <rPr>
        <sz val="10"/>
        <rFont val="Bookman Old Style"/>
        <family val="1"/>
      </rPr>
      <t>5.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CID-validated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lessons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</si>
  <si>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Baseline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prepared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before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TA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Round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1</t>
    </r>
  </si>
  <si>
    <r>
      <rPr>
        <sz val="10"/>
        <rFont val="Bookman Old Style"/>
        <family val="1"/>
      </rPr>
      <t>2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Priority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instructional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gaps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identified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(2–3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only)</t>
    </r>
  </si>
  <si>
    <r>
      <rPr>
        <sz val="10"/>
        <rFont val="Bookman Old Style"/>
        <family val="1"/>
      </rPr>
      <t>3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TA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recommendations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applied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class</t>
    </r>
  </si>
  <si>
    <r>
      <rPr>
        <sz val="10"/>
        <rFont val="Bookman Old Style"/>
        <family val="1"/>
      </rPr>
      <t>4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Evidence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of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implementation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available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for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TA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Round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2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</si>
  <si>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Lesson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regularly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reviewed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</si>
  <si>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Classroom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observations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conducted</t>
    </r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</si>
  <si>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Feedback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provided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to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teachers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</si>
  <si>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Remediation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implementation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monitored</t>
    </r>
  </si>
  <si>
    <r>
      <rPr>
        <sz val="10"/>
        <rFont val="Bookman Old Style"/>
        <family val="1"/>
      </rPr>
      <t>5.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SIP/AIP,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TA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aligned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</si>
  <si>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analyzed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regularly</t>
    </r>
  </si>
  <si>
    <r>
      <rPr>
        <sz val="10"/>
        <rFont val="Bookman Old Style"/>
        <family val="1"/>
      </rPr>
      <t>2</t>
    </r>
    <r>
      <rPr>
        <sz val="11"/>
        <rFont val="Calibri"/>
        <family val="2"/>
      </rPr>
      <t>.</t>
    </r>
    <r>
      <rPr>
        <sz val="11"/>
        <rFont val="Times New Roman"/>
        <family val="1"/>
      </rPr>
      <t xml:space="preserve"> </t>
    </r>
    <r>
      <rPr>
        <sz val="10"/>
        <rFont val="Bookman Old Style"/>
        <family val="1"/>
      </rPr>
      <t>Priority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gaps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clearly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identified</t>
    </r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</si>
  <si>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Instructional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adjustments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implemented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</si>
  <si>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Impact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monitored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reviewed</t>
    </r>
  </si>
  <si>
    <r>
      <rPr>
        <sz val="10"/>
        <rFont val="Bookman Old Style"/>
        <family val="1"/>
      </rPr>
      <t>Strengths:</t>
    </r>
  </si>
  <si>
    <r>
      <rPr>
        <sz val="10"/>
        <rFont val="Bookman Old Style"/>
        <family val="1"/>
      </rPr>
      <t>Areas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for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Improvement:</t>
    </r>
  </si>
  <si>
    <r>
      <rPr>
        <sz val="10"/>
        <rFont val="Bookman Old Style"/>
        <family val="1"/>
      </rPr>
      <t>Agreed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Next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Action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(Next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Quarter):</t>
    </r>
  </si>
  <si>
    <r>
      <rPr>
        <b/>
        <sz val="11"/>
        <rFont val="Bookman Old Style"/>
        <family val="1"/>
      </rPr>
      <t>CURRICULUM,</t>
    </r>
    <r>
      <rPr>
        <b/>
        <sz val="11"/>
        <rFont val="Times New Roman"/>
        <family val="1"/>
      </rPr>
      <t xml:space="preserve"> </t>
    </r>
    <r>
      <rPr>
        <b/>
        <sz val="11"/>
        <rFont val="Bookman Old Style"/>
        <family val="1"/>
      </rPr>
      <t>INSTRUCTION,</t>
    </r>
    <r>
      <rPr>
        <b/>
        <sz val="11"/>
        <rFont val="Times New Roman"/>
        <family val="1"/>
      </rPr>
      <t xml:space="preserve"> </t>
    </r>
    <r>
      <rPr>
        <b/>
        <sz val="11"/>
        <rFont val="Bookman Old Style"/>
        <family val="1"/>
      </rPr>
      <t>AND</t>
    </r>
    <r>
      <rPr>
        <b/>
        <sz val="11"/>
        <rFont val="Times New Roman"/>
        <family val="1"/>
      </rPr>
      <t xml:space="preserve"> </t>
    </r>
    <r>
      <rPr>
        <b/>
        <sz val="11"/>
        <rFont val="Bookman Old Style"/>
        <family val="1"/>
      </rPr>
      <t>ASSESSMENT</t>
    </r>
    <r>
      <rPr>
        <b/>
        <sz val="11"/>
        <rFont val="Times New Roman"/>
        <family val="1"/>
      </rPr>
      <t xml:space="preserve"> </t>
    </r>
    <r>
      <rPr>
        <b/>
        <sz val="11"/>
        <rFont val="Bookman Old Style"/>
        <family val="1"/>
      </rPr>
      <t>MONITORING</t>
    </r>
    <r>
      <rPr>
        <b/>
        <sz val="11"/>
        <rFont val="Times New Roman"/>
        <family val="1"/>
      </rPr>
      <t xml:space="preserve"> </t>
    </r>
    <r>
      <rPr>
        <b/>
        <sz val="11"/>
        <rFont val="Bookman Old Style"/>
        <family val="1"/>
      </rPr>
      <t>CHECKLIST</t>
    </r>
  </si>
  <si>
    <t>School:</t>
  </si>
  <si>
    <r>
      <rPr>
        <b/>
        <sz val="10"/>
        <rFont val="Bookman Old Style"/>
        <family val="1"/>
      </rPr>
      <t>G.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TECHNICAL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ASSISTANCE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(TA)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IMPLEMENTATION</t>
    </r>
  </si>
  <si>
    <r>
      <rPr>
        <b/>
        <sz val="10"/>
        <rFont val="Bookman Old Style"/>
        <family val="1"/>
      </rPr>
      <t>H.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INSTRUCTIONAL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LEADERSHIP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&amp;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MONITORING</t>
    </r>
  </si>
  <si>
    <r>
      <rPr>
        <b/>
        <sz val="10"/>
        <rFont val="Bookman Old Style"/>
        <family val="1"/>
      </rPr>
      <t>I.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OVERALL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DATA-TO-ACTION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CYCLE</t>
    </r>
  </si>
  <si>
    <r>
      <rPr>
        <b/>
        <sz val="10"/>
        <rFont val="Bookman Old Style"/>
        <family val="1"/>
      </rPr>
      <t>SUMMARY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OF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FINDINGS</t>
    </r>
  </si>
  <si>
    <r>
      <rPr>
        <b/>
        <sz val="10"/>
        <rFont val="Bookman Old Style"/>
        <family val="1"/>
      </rPr>
      <t>D.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TARGETED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REMEDIATION</t>
    </r>
  </si>
  <si>
    <r>
      <rPr>
        <b/>
        <sz val="10"/>
        <rFont val="Bookman Old Style"/>
        <family val="1"/>
      </rPr>
      <t>C.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READING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ACROSS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LEARNING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AREAS</t>
    </r>
  </si>
  <si>
    <r>
      <rPr>
        <b/>
        <sz val="10"/>
        <rFont val="Bookman Old Style"/>
        <family val="1"/>
      </rPr>
      <t>B.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ASSESSMENT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QUALITY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(HOTS-BASED)</t>
    </r>
  </si>
  <si>
    <r>
      <rPr>
        <b/>
        <sz val="10"/>
        <rFont val="Bookman Old Style"/>
        <family val="1"/>
      </rPr>
      <t>A.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CURRICULUM–INSTRUCTION–ASSESSMENT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ALIGNMENT</t>
    </r>
  </si>
  <si>
    <r>
      <rPr>
        <sz val="10"/>
        <rFont val="Bookman Old Style"/>
        <family val="1"/>
      </rPr>
      <t>Quarter:</t>
    </r>
    <r>
      <rPr>
        <sz val="10"/>
        <rFont val="Times New Roman"/>
        <family val="1"/>
      </rPr>
      <t xml:space="preserve">    </t>
    </r>
  </si>
  <si>
    <r>
      <rPr>
        <sz val="10"/>
        <rFont val="Bookman Old Style"/>
        <family val="1"/>
      </rPr>
      <t>Monitored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by:</t>
    </r>
    <r>
      <rPr>
        <sz val="10"/>
        <rFont val="Times New Roman"/>
        <family val="1"/>
      </rPr>
      <t xml:space="preserve">   </t>
    </r>
  </si>
  <si>
    <r>
      <rPr>
        <b/>
        <sz val="8"/>
        <rFont val="Bookman Old Style"/>
        <family val="1"/>
      </rPr>
      <t>F.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LEARNING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RESOURCE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(LR)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QUALITY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&amp;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UTILIZATION</t>
    </r>
  </si>
  <si>
    <r>
      <rPr>
        <b/>
        <sz val="8"/>
        <rFont val="Bookman Old Style"/>
        <family val="1"/>
      </rPr>
      <t>E.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DATA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UTILIZATION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(LAC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&amp;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INSTRUCTIONAL</t>
    </r>
    <r>
      <rPr>
        <b/>
        <sz val="8"/>
        <rFont val="Times New Roman"/>
        <family val="1"/>
      </rPr>
      <t xml:space="preserve"> </t>
    </r>
    <r>
      <rPr>
        <b/>
        <sz val="8"/>
        <rFont val="Bookman Old Style"/>
        <family val="1"/>
      </rPr>
      <t>ADJUSTMENT)</t>
    </r>
  </si>
  <si>
    <t>Republic of the Philippines</t>
  </si>
  <si>
    <t>Department of Education</t>
  </si>
  <si>
    <t>SCHOOLS DIVISION OF MANDAUE CITY</t>
  </si>
  <si>
    <t>Prepared by:</t>
  </si>
  <si>
    <t>RONIL D. MANAYON DevEdD</t>
  </si>
  <si>
    <t>Noted by:</t>
  </si>
  <si>
    <t>School Principal</t>
  </si>
  <si>
    <t>NAME OF SCHOOL HEAD</t>
  </si>
  <si>
    <t>PSDS, WEST 1 Secondary</t>
  </si>
  <si>
    <t>RUFINO T. TUDLASAN PhD</t>
  </si>
  <si>
    <t>Education Program Supervisor</t>
  </si>
  <si>
    <t>SCHOOL</t>
  </si>
  <si>
    <t>Weighted Mean</t>
  </si>
  <si>
    <t>NAME OF PSDS</t>
  </si>
  <si>
    <t>PSDS, West 1 Secondary</t>
  </si>
  <si>
    <t>WEIGHTED MEAN</t>
  </si>
  <si>
    <t>Description</t>
  </si>
  <si>
    <t>Fully Implemented</t>
  </si>
  <si>
    <t>Implemented</t>
  </si>
  <si>
    <t>Partially Implemented</t>
  </si>
  <si>
    <t>Needs Improvement</t>
  </si>
  <si>
    <t>TABOK ELEMENTARY SCHOOL 1</t>
  </si>
  <si>
    <t>TERM 1</t>
  </si>
  <si>
    <t xml:space="preserve">MAGUIKAY ELEMENTARY SCHOOL </t>
  </si>
  <si>
    <t>CABANCALAN ELEMENTARY SCHOOL 1</t>
  </si>
  <si>
    <t>TABOK ELEMENTARY SCHOOL II</t>
  </si>
  <si>
    <t xml:space="preserve">BAKILID ELEMENTARY SCHOOL </t>
  </si>
  <si>
    <r>
      <t>MARY JEAN B. CODI</t>
    </r>
    <r>
      <rPr>
        <sz val="10"/>
        <color rgb="FF000000"/>
        <rFont val="Aptos Narrow"/>
        <family val="2"/>
      </rPr>
      <t>Ñ</t>
    </r>
    <r>
      <rPr>
        <sz val="10"/>
        <color rgb="FF000000"/>
        <rFont val="Times New Roman"/>
        <family val="1"/>
      </rPr>
      <t>ERA</t>
    </r>
  </si>
  <si>
    <t>NANCY C. LUCENAS</t>
  </si>
  <si>
    <t>TINGUB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</si>
</sst>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color rgb="FF000000"/>
      <name val="Times New Roman"/>
      <charset val="204"/>
    </font>
    <font>
      <b/>
      <sz val="10"/>
      <name val="Bookman Old Style"/>
    </font>
    <font>
      <sz val="10"/>
      <name val="Segoe UI Symbol"/>
    </font>
    <font>
      <sz val="10"/>
      <name val="Bookman Old Style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Bookman Old Style"/>
      <family val="1"/>
    </font>
    <font>
      <b/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Bookman Old Style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name val="Bookman Old Style"/>
      <family val="1"/>
    </font>
    <font>
      <b/>
      <sz val="8"/>
      <name val="Times New Roman"/>
      <family val="1"/>
    </font>
    <font>
      <sz val="12"/>
      <color rgb="FF000000"/>
      <name val="Old English Text MT"/>
      <family val="4"/>
    </font>
    <font>
      <sz val="18"/>
      <color rgb="FF000000"/>
      <name val="Old English Text MT"/>
      <family val="4"/>
    </font>
    <font>
      <b/>
      <sz val="11"/>
      <color rgb="FF00000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8"/>
      <color rgb="FF000000"/>
      <name val="Aptos Narrow"/>
      <family val="2"/>
    </font>
    <font>
      <b/>
      <sz val="6"/>
      <color rgb="FF000000"/>
      <name val="Aptos Narrow"/>
      <family val="2"/>
    </font>
    <font>
      <b/>
      <sz val="6"/>
      <color rgb="FF000000"/>
      <name val="Times New Roman"/>
      <family val="1"/>
    </font>
    <font>
      <sz val="10"/>
      <color theme="1"/>
      <name val="Times New Roman"/>
      <family val="1"/>
    </font>
    <font>
      <b/>
      <sz val="9"/>
      <color rgb="FF000000"/>
      <name val="Aptos Narrow"/>
      <family val="2"/>
    </font>
    <font>
      <sz val="8"/>
      <color rgb="FF000000"/>
      <name val="Times New Roman"/>
      <family val="1"/>
    </font>
    <font>
      <sz val="10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8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center" wrapText="1" indent="6"/>
    </xf>
    <xf numFmtId="0" fontId="0" fillId="0" borderId="7" xfId="0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2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14" fillId="0" borderId="18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 applyProtection="1">
      <alignment horizontal="left" vertical="center" wrapText="1"/>
      <protection locked="0"/>
    </xf>
    <xf numFmtId="0" fontId="0" fillId="0" borderId="20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21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horizontal="left" vertical="top"/>
      <protection hidden="1"/>
    </xf>
    <xf numFmtId="0" fontId="21" fillId="0" borderId="0" xfId="0" applyFont="1" applyAlignment="1">
      <alignment horizontal="left" vertical="top"/>
    </xf>
    <xf numFmtId="0" fontId="21" fillId="0" borderId="0" xfId="0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>
      <alignment horizontal="left" vertical="top"/>
    </xf>
    <xf numFmtId="164" fontId="21" fillId="0" borderId="0" xfId="0" applyNumberFormat="1" applyFont="1" applyAlignment="1" applyProtection="1">
      <alignment horizontal="left" vertical="top"/>
      <protection hidden="1"/>
    </xf>
    <xf numFmtId="0" fontId="25" fillId="3" borderId="38" xfId="0" applyFont="1" applyFill="1" applyBorder="1" applyAlignment="1" applyProtection="1">
      <alignment horizontal="center" vertical="center" wrapText="1"/>
      <protection hidden="1"/>
    </xf>
    <xf numFmtId="0" fontId="25" fillId="3" borderId="2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0" fontId="23" fillId="3" borderId="26" xfId="0" applyFont="1" applyFill="1" applyBorder="1" applyAlignment="1" applyProtection="1">
      <alignment horizontal="center" vertical="center"/>
      <protection hidden="1"/>
    </xf>
    <xf numFmtId="0" fontId="23" fillId="3" borderId="27" xfId="0" applyFont="1" applyFill="1" applyBorder="1" applyAlignment="1" applyProtection="1">
      <alignment horizontal="center" vertical="center"/>
      <protection hidden="1"/>
    </xf>
    <xf numFmtId="0" fontId="23" fillId="3" borderId="39" xfId="0" applyFont="1" applyFill="1" applyBorder="1" applyAlignment="1" applyProtection="1">
      <alignment horizontal="center" vertical="center"/>
      <protection hidden="1"/>
    </xf>
    <xf numFmtId="0" fontId="7" fillId="0" borderId="33" xfId="0" applyFont="1" applyBorder="1" applyAlignment="1" applyProtection="1">
      <alignment horizontal="center" vertical="center"/>
      <protection hidden="1"/>
    </xf>
    <xf numFmtId="0" fontId="7" fillId="0" borderId="34" xfId="0" applyFont="1" applyBorder="1" applyAlignment="1" applyProtection="1">
      <alignment horizontal="center" vertical="center"/>
      <protection hidden="1"/>
    </xf>
    <xf numFmtId="0" fontId="7" fillId="0" borderId="35" xfId="0" applyFont="1" applyBorder="1" applyAlignment="1" applyProtection="1">
      <alignment horizontal="center" vertical="center"/>
      <protection hidden="1"/>
    </xf>
    <xf numFmtId="2" fontId="0" fillId="5" borderId="43" xfId="0" applyNumberFormat="1" applyFill="1" applyBorder="1" applyAlignment="1" applyProtection="1">
      <alignment horizontal="center" vertical="center"/>
      <protection hidden="1"/>
    </xf>
    <xf numFmtId="2" fontId="28" fillId="4" borderId="44" xfId="0" applyNumberFormat="1" applyFont="1" applyFill="1" applyBorder="1" applyAlignment="1" applyProtection="1">
      <alignment horizontal="center" vertical="center" wrapText="1"/>
      <protection hidden="1"/>
    </xf>
    <xf numFmtId="2" fontId="28" fillId="4" borderId="43" xfId="0" applyNumberFormat="1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left" vertical="top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25" xfId="0" applyFont="1" applyBorder="1" applyAlignment="1" applyProtection="1">
      <alignment horizontal="center" vertical="center"/>
      <protection hidden="1"/>
    </xf>
    <xf numFmtId="0" fontId="7" fillId="0" borderId="21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7" fillId="0" borderId="30" xfId="0" applyFont="1" applyBorder="1" applyAlignment="1" applyProtection="1">
      <alignment horizontal="center" vertical="center"/>
      <protection hidden="1"/>
    </xf>
    <xf numFmtId="2" fontId="28" fillId="4" borderId="45" xfId="0" applyNumberFormat="1" applyFont="1" applyFill="1" applyBorder="1" applyAlignment="1" applyProtection="1">
      <alignment horizontal="center" vertical="center" wrapText="1"/>
      <protection hidden="1"/>
    </xf>
    <xf numFmtId="2" fontId="28" fillId="4" borderId="48" xfId="0" applyNumberFormat="1" applyFont="1" applyFill="1" applyBorder="1" applyAlignment="1" applyProtection="1">
      <alignment horizontal="center" vertical="center" wrapText="1"/>
      <protection hidden="1"/>
    </xf>
    <xf numFmtId="0" fontId="7" fillId="2" borderId="22" xfId="0" applyFont="1" applyFill="1" applyBorder="1" applyAlignment="1" applyProtection="1">
      <alignment horizontal="center" vertical="center"/>
      <protection hidden="1"/>
    </xf>
    <xf numFmtId="2" fontId="7" fillId="2" borderId="31" xfId="0" applyNumberFormat="1" applyFont="1" applyFill="1" applyBorder="1" applyAlignment="1" applyProtection="1">
      <alignment horizontal="center" vertical="center"/>
      <protection hidden="1"/>
    </xf>
    <xf numFmtId="2" fontId="7" fillId="2" borderId="32" xfId="0" applyNumberFormat="1" applyFont="1" applyFill="1" applyBorder="1" applyAlignment="1" applyProtection="1">
      <alignment horizontal="center" vertical="center"/>
      <protection hidden="1"/>
    </xf>
    <xf numFmtId="2" fontId="7" fillId="2" borderId="40" xfId="0" applyNumberFormat="1" applyFont="1" applyFill="1" applyBorder="1" applyAlignment="1" applyProtection="1">
      <alignment horizontal="center" vertical="center"/>
      <protection hidden="1"/>
    </xf>
    <xf numFmtId="2" fontId="7" fillId="5" borderId="22" xfId="0" applyNumberFormat="1" applyFont="1" applyFill="1" applyBorder="1" applyAlignment="1" applyProtection="1">
      <alignment horizontal="center" vertical="center"/>
      <protection hidden="1"/>
    </xf>
    <xf numFmtId="2" fontId="28" fillId="4" borderId="22" xfId="0" applyNumberFormat="1" applyFont="1" applyFill="1" applyBorder="1" applyAlignment="1" applyProtection="1">
      <alignment horizontal="center" vertical="center" wrapText="1"/>
      <protection hidden="1"/>
    </xf>
    <xf numFmtId="0" fontId="27" fillId="4" borderId="46" xfId="0" applyFont="1" applyFill="1" applyBorder="1" applyAlignment="1" applyProtection="1">
      <alignment horizontal="center" vertical="center" wrapText="1"/>
      <protection hidden="1"/>
    </xf>
    <xf numFmtId="0" fontId="27" fillId="4" borderId="47" xfId="0" applyFont="1" applyFill="1" applyBorder="1" applyAlignment="1" applyProtection="1">
      <alignment horizontal="center" vertical="center" wrapText="1"/>
      <protection hidden="1"/>
    </xf>
    <xf numFmtId="0" fontId="25" fillId="3" borderId="23" xfId="0" applyFont="1" applyFill="1" applyBorder="1" applyAlignment="1" applyProtection="1">
      <alignment horizontal="center" vertical="center" wrapText="1"/>
      <protection hidden="1"/>
    </xf>
    <xf numFmtId="0" fontId="25" fillId="3" borderId="24" xfId="0" applyFont="1" applyFill="1" applyBorder="1" applyAlignment="1" applyProtection="1">
      <alignment horizontal="center" vertical="center" wrapText="1"/>
      <protection hidden="1"/>
    </xf>
    <xf numFmtId="0" fontId="24" fillId="5" borderId="41" xfId="0" applyFont="1" applyFill="1" applyBorder="1" applyAlignment="1" applyProtection="1">
      <alignment horizontal="center" vertical="center" wrapText="1"/>
      <protection hidden="1"/>
    </xf>
    <xf numFmtId="0" fontId="24" fillId="5" borderId="42" xfId="0" applyFont="1" applyFill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7" fillId="3" borderId="36" xfId="0" applyFont="1" applyFill="1" applyBorder="1" applyAlignment="1" applyProtection="1">
      <alignment horizontal="center" vertical="center"/>
      <protection hidden="1"/>
    </xf>
    <xf numFmtId="0" fontId="7" fillId="3" borderId="37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20" fillId="0" borderId="17" xfId="0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 applyProtection="1">
      <alignment horizontal="left" vertical="center" wrapText="1"/>
      <protection locked="0"/>
    </xf>
    <xf numFmtId="0" fontId="13" fillId="0" borderId="13" xfId="0" applyFont="1" applyBorder="1" applyAlignment="1" applyProtection="1">
      <alignment horizontal="left" vertical="top"/>
      <protection locked="0"/>
    </xf>
    <xf numFmtId="0" fontId="0" fillId="0" borderId="13" xfId="0" applyBorder="1" applyAlignment="1" applyProtection="1">
      <alignment horizontal="left" vertical="top"/>
      <protection locked="0"/>
    </xf>
  </cellXfs>
  <cellStyles count="2">
    <cellStyle name="Normal" xfId="0" builtinId="0"/>
    <cellStyle name="Normal 2" xfId="1" xr:uid="{B81C1B76-EF04-4F24-8BB8-1F3A167BDCCC}"/>
  </cellStyles>
  <dxfs count="270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AA16" lockText="1" noThreeD="1"/>
</file>

<file path=xl/ctrlProps/ctrlProp2.xml><?xml version="1.0" encoding="utf-8"?>
<formControlPr xmlns="http://schemas.microsoft.com/office/spreadsheetml/2009/9/main" objectType="CheckBox" fmlaLink="AA17" lockText="1" noThreeD="1"/>
</file>

<file path=xl/ctrlProps/ctrlProp3.xml><?xml version="1.0" encoding="utf-8"?>
<formControlPr xmlns="http://schemas.microsoft.com/office/spreadsheetml/2009/9/main" objectType="CheckBox" fmlaLink="AA20" lockText="1" noThreeD="1"/>
</file>

<file path=xl/ctrlProps/ctrlProp4.xml><?xml version="1.0" encoding="utf-8"?>
<formControlPr xmlns="http://schemas.microsoft.com/office/spreadsheetml/2009/9/main" objectType="CheckBox" fmlaLink="AA23" lockText="1" noThreeD="1"/>
</file>

<file path=xl/ctrlProps/ctrlProp5.xml><?xml version="1.0" encoding="utf-8"?>
<formControlPr xmlns="http://schemas.microsoft.com/office/spreadsheetml/2009/9/main" objectType="CheckBox" fmlaLink="AA24" lockText="1" noThreeD="1"/>
</file>

<file path=xl/ctrlProps/ctrlProp6.xml><?xml version="1.0" encoding="utf-8"?>
<formControlPr xmlns="http://schemas.microsoft.com/office/spreadsheetml/2009/9/main" objectType="CheckBox" fmlaLink="AA25" lockText="1" noThreeD="1"/>
</file>

<file path=xl/ctrlProps/ctrlProp7.xml><?xml version="1.0" encoding="utf-8"?>
<formControlPr xmlns="http://schemas.microsoft.com/office/spreadsheetml/2009/9/main" objectType="CheckBox" fmlaLink="AA27" lockText="1" noThreeD="1"/>
</file>

<file path=xl/ctrlProps/ctrlProp8.xml><?xml version="1.0" encoding="utf-8"?>
<formControlPr xmlns="http://schemas.microsoft.com/office/spreadsheetml/2009/9/main" objectType="CheckBox" fmlaLink="AA30" lockText="1" noThreeD="1"/>
</file>

<file path=xl/ctrlProps/ctrlProp9.xml><?xml version="1.0" encoding="utf-8"?>
<formControlPr xmlns="http://schemas.microsoft.com/office/spreadsheetml/2009/9/main" objectType="CheckBox" fmlaLink="AA31" lockText="1" noThreeD="1"/>
</file>

<file path=xl/ctrlProps/ctrlProp10.xml><?xml version="1.0" encoding="utf-8"?>
<formControlPr xmlns="http://schemas.microsoft.com/office/spreadsheetml/2009/9/main" objectType="CheckBox" fmlaLink="AA32" lockText="1" noThreeD="1"/>
</file>

<file path=xl/ctrlProps/ctrlProp11.xml><?xml version="1.0" encoding="utf-8"?>
<formControlPr xmlns="http://schemas.microsoft.com/office/spreadsheetml/2009/9/main" objectType="CheckBox" fmlaLink="AA34" lockText="1" noThreeD="1"/>
</file>

<file path=xl/ctrlProps/ctrlProp12.xml><?xml version="1.0" encoding="utf-8"?>
<formControlPr xmlns="http://schemas.microsoft.com/office/spreadsheetml/2009/9/main" objectType="CheckBox" fmlaLink="AA37" lockText="1" noThreeD="1"/>
</file>

<file path=xl/ctrlProps/ctrlProp13.xml><?xml version="1.0" encoding="utf-8"?>
<formControlPr xmlns="http://schemas.microsoft.com/office/spreadsheetml/2009/9/main" objectType="CheckBox" fmlaLink="AA38" lockText="1" noThreeD="1"/>
</file>

<file path=xl/ctrlProps/ctrlProp14.xml><?xml version="1.0" encoding="utf-8"?>
<formControlPr xmlns="http://schemas.microsoft.com/office/spreadsheetml/2009/9/main" objectType="CheckBox" fmlaLink="AA39" lockText="1" noThreeD="1"/>
</file>

<file path=xl/ctrlProps/ctrlProp15.xml><?xml version="1.0" encoding="utf-8"?>
<formControlPr xmlns="http://schemas.microsoft.com/office/spreadsheetml/2009/9/main" objectType="CheckBox" fmlaLink="AA41" lockText="1" noThreeD="1"/>
</file>

<file path=xl/ctrlProps/ctrlProp16.xml><?xml version="1.0" encoding="utf-8"?>
<formControlPr xmlns="http://schemas.microsoft.com/office/spreadsheetml/2009/9/main" objectType="CheckBox" fmlaLink="AA44" lockText="1" noThreeD="1"/>
</file>

<file path=xl/ctrlProps/ctrlProp17.xml><?xml version="1.0" encoding="utf-8"?>
<formControlPr xmlns="http://schemas.microsoft.com/office/spreadsheetml/2009/9/main" objectType="CheckBox" fmlaLink="AA45" lockText="1" noThreeD="1"/>
</file>

<file path=xl/ctrlProps/ctrlProp18.xml><?xml version="1.0" encoding="utf-8"?>
<formControlPr xmlns="http://schemas.microsoft.com/office/spreadsheetml/2009/9/main" objectType="CheckBox" fmlaLink="AA46" lockText="1" noThreeD="1"/>
</file>

<file path=xl/ctrlProps/ctrlProp19.xml><?xml version="1.0" encoding="utf-8"?>
<formControlPr xmlns="http://schemas.microsoft.com/office/spreadsheetml/2009/9/main" objectType="CheckBox" fmlaLink="AA48" lockText="1" noThreeD="1"/>
</file>

<file path=xl/ctrlProps/ctrlProp20.xml><?xml version="1.0" encoding="utf-8"?>
<formControlPr xmlns="http://schemas.microsoft.com/office/spreadsheetml/2009/9/main" objectType="CheckBox" fmlaLink="AA51" lockText="1" noThreeD="1"/>
</file>

<file path=xl/ctrlProps/ctrlProp21.xml><?xml version="1.0" encoding="utf-8"?>
<formControlPr xmlns="http://schemas.microsoft.com/office/spreadsheetml/2009/9/main" objectType="CheckBox" fmlaLink="AA52" lockText="1" noThreeD="1"/>
</file>

<file path=xl/ctrlProps/ctrlProp22.xml><?xml version="1.0" encoding="utf-8"?>
<formControlPr xmlns="http://schemas.microsoft.com/office/spreadsheetml/2009/9/main" objectType="CheckBox" fmlaLink="AA53" lockText="1" noThreeD="1"/>
</file>

<file path=xl/ctrlProps/ctrlProp23.xml><?xml version="1.0" encoding="utf-8"?>
<formControlPr xmlns="http://schemas.microsoft.com/office/spreadsheetml/2009/9/main" objectType="CheckBox" fmlaLink="AA54" lockText="1" noThreeD="1"/>
</file>

<file path=xl/ctrlProps/ctrlProp24.xml><?xml version="1.0" encoding="utf-8"?>
<formControlPr xmlns="http://schemas.microsoft.com/office/spreadsheetml/2009/9/main" objectType="CheckBox" fmlaLink="AA55" lockText="1" noThreeD="1"/>
</file>

<file path=xl/ctrlProps/ctrlProp25.xml><?xml version="1.0" encoding="utf-8"?>
<formControlPr xmlns="http://schemas.microsoft.com/office/spreadsheetml/2009/9/main" objectType="CheckBox" fmlaLink="AA58" lockText="1" noThreeD="1"/>
</file>

<file path=xl/ctrlProps/ctrlProp26.xml><?xml version="1.0" encoding="utf-8"?>
<formControlPr xmlns="http://schemas.microsoft.com/office/spreadsheetml/2009/9/main" objectType="CheckBox" fmlaLink="AA59" lockText="1" noThreeD="1"/>
</file>

<file path=xl/ctrlProps/ctrlProp27.xml><?xml version="1.0" encoding="utf-8"?>
<formControlPr xmlns="http://schemas.microsoft.com/office/spreadsheetml/2009/9/main" objectType="CheckBox" fmlaLink="AA60" lockText="1" noThreeD="1"/>
</file>

<file path=xl/ctrlProps/ctrlProp28.xml><?xml version="1.0" encoding="utf-8"?>
<formControlPr xmlns="http://schemas.microsoft.com/office/spreadsheetml/2009/9/main" objectType="CheckBox" fmlaLink="AA62" lockText="1" noThreeD="1"/>
</file>

<file path=xl/ctrlProps/ctrlProp29.xml><?xml version="1.0" encoding="utf-8"?>
<formControlPr xmlns="http://schemas.microsoft.com/office/spreadsheetml/2009/9/main" objectType="CheckBox" fmlaLink="AA65" lockText="1" noThreeD="1"/>
</file>

<file path=xl/ctrlProps/ctrlProp30.xml><?xml version="1.0" encoding="utf-8"?>
<formControlPr xmlns="http://schemas.microsoft.com/office/spreadsheetml/2009/9/main" objectType="CheckBox" fmlaLink="AA66" lockText="1" noThreeD="1"/>
</file>

<file path=xl/ctrlProps/ctrlProp31.xml><?xml version="1.0" encoding="utf-8"?>
<formControlPr xmlns="http://schemas.microsoft.com/office/spreadsheetml/2009/9/main" objectType="CheckBox" fmlaLink="AA67" lockText="1" noThreeD="1"/>
</file>

<file path=xl/ctrlProps/ctrlProp32.xml><?xml version="1.0" encoding="utf-8"?>
<formControlPr xmlns="http://schemas.microsoft.com/office/spreadsheetml/2009/9/main" objectType="CheckBox" fmlaLink="AA68" lockText="1" noThreeD="1"/>
</file>

<file path=xl/ctrlProps/ctrlProp33.xml><?xml version="1.0" encoding="utf-8"?>
<formControlPr xmlns="http://schemas.microsoft.com/office/spreadsheetml/2009/9/main" objectType="CheckBox" fmlaLink="AA69" lockText="1" noThreeD="1"/>
</file>

<file path=xl/ctrlProps/ctrlProp34.xml><?xml version="1.0" encoding="utf-8"?>
<formControlPr xmlns="http://schemas.microsoft.com/office/spreadsheetml/2009/9/main" objectType="CheckBox" fmlaLink="AA72" lockText="1" noThreeD="1"/>
</file>

<file path=xl/ctrlProps/ctrlProp35.xml><?xml version="1.0" encoding="utf-8"?>
<formControlPr xmlns="http://schemas.microsoft.com/office/spreadsheetml/2009/9/main" objectType="CheckBox" fmlaLink="AA73" lockText="1" noThreeD="1"/>
</file>

<file path=xl/ctrlProps/ctrlProp36.xml><?xml version="1.0" encoding="utf-8"?>
<formControlPr xmlns="http://schemas.microsoft.com/office/spreadsheetml/2009/9/main" objectType="CheckBox" fmlaLink="AA74" lockText="1" noThreeD="1"/>
</file>

<file path=xl/ctrlProps/ctrlProp37.xml><?xml version="1.0" encoding="utf-8"?>
<formControlPr xmlns="http://schemas.microsoft.com/office/spreadsheetml/2009/9/main" objectType="CheckBox" fmlaLink="AA76" lockText="1" noThreeD="1"/>
</file>

<file path=xl/ctrlProps/ctrlProp38.xml><?xml version="1.0" encoding="utf-8"?>
<formControlPr xmlns="http://schemas.microsoft.com/office/spreadsheetml/2009/9/main" objectType="CheckBox" fmlaLink="AB16" lockText="1" noThreeD="1"/>
</file>

<file path=xl/ctrlProps/ctrlProp39.xml><?xml version="1.0" encoding="utf-8"?>
<formControlPr xmlns="http://schemas.microsoft.com/office/spreadsheetml/2009/9/main" objectType="CheckBox" fmlaLink="AB17" lockText="1" noThreeD="1"/>
</file>

<file path=xl/ctrlProps/ctrlProp40.xml><?xml version="1.0" encoding="utf-8"?>
<formControlPr xmlns="http://schemas.microsoft.com/office/spreadsheetml/2009/9/main" objectType="CheckBox" fmlaLink="AB20" lockText="1" noThreeD="1"/>
</file>

<file path=xl/ctrlProps/ctrlProp41.xml><?xml version="1.0" encoding="utf-8"?>
<formControlPr xmlns="http://schemas.microsoft.com/office/spreadsheetml/2009/9/main" objectType="CheckBox" fmlaLink="AB23" lockText="1" noThreeD="1"/>
</file>

<file path=xl/ctrlProps/ctrlProp42.xml><?xml version="1.0" encoding="utf-8"?>
<formControlPr xmlns="http://schemas.microsoft.com/office/spreadsheetml/2009/9/main" objectType="CheckBox" fmlaLink="AB24" lockText="1" noThreeD="1"/>
</file>

<file path=xl/ctrlProps/ctrlProp43.xml><?xml version="1.0" encoding="utf-8"?>
<formControlPr xmlns="http://schemas.microsoft.com/office/spreadsheetml/2009/9/main" objectType="CheckBox" fmlaLink="AB25" lockText="1" noThreeD="1"/>
</file>

<file path=xl/ctrlProps/ctrlProp44.xml><?xml version="1.0" encoding="utf-8"?>
<formControlPr xmlns="http://schemas.microsoft.com/office/spreadsheetml/2009/9/main" objectType="CheckBox" fmlaLink="AB27" lockText="1" noThreeD="1"/>
</file>

<file path=xl/ctrlProps/ctrlProp45.xml><?xml version="1.0" encoding="utf-8"?>
<formControlPr xmlns="http://schemas.microsoft.com/office/spreadsheetml/2009/9/main" objectType="CheckBox" fmlaLink="AB30" lockText="1" noThreeD="1"/>
</file>

<file path=xl/ctrlProps/ctrlProp46.xml><?xml version="1.0" encoding="utf-8"?>
<formControlPr xmlns="http://schemas.microsoft.com/office/spreadsheetml/2009/9/main" objectType="CheckBox" fmlaLink="AB31" lockText="1" noThreeD="1"/>
</file>

<file path=xl/ctrlProps/ctrlProp47.xml><?xml version="1.0" encoding="utf-8"?>
<formControlPr xmlns="http://schemas.microsoft.com/office/spreadsheetml/2009/9/main" objectType="CheckBox" fmlaLink="AB32" lockText="1" noThreeD="1"/>
</file>

<file path=xl/ctrlProps/ctrlProp48.xml><?xml version="1.0" encoding="utf-8"?>
<formControlPr xmlns="http://schemas.microsoft.com/office/spreadsheetml/2009/9/main" objectType="CheckBox" fmlaLink="AB34" lockText="1" noThreeD="1"/>
</file>

<file path=xl/ctrlProps/ctrlProp49.xml><?xml version="1.0" encoding="utf-8"?>
<formControlPr xmlns="http://schemas.microsoft.com/office/spreadsheetml/2009/9/main" objectType="CheckBox" fmlaLink="AB37" lockText="1" noThreeD="1"/>
</file>

<file path=xl/ctrlProps/ctrlProp50.xml><?xml version="1.0" encoding="utf-8"?>
<formControlPr xmlns="http://schemas.microsoft.com/office/spreadsheetml/2009/9/main" objectType="CheckBox" fmlaLink="AB38" lockText="1" noThreeD="1"/>
</file>

<file path=xl/ctrlProps/ctrlProp51.xml><?xml version="1.0" encoding="utf-8"?>
<formControlPr xmlns="http://schemas.microsoft.com/office/spreadsheetml/2009/9/main" objectType="CheckBox" fmlaLink="AB39" lockText="1" noThreeD="1"/>
</file>

<file path=xl/ctrlProps/ctrlProp52.xml><?xml version="1.0" encoding="utf-8"?>
<formControlPr xmlns="http://schemas.microsoft.com/office/spreadsheetml/2009/9/main" objectType="CheckBox" fmlaLink="AB41" lockText="1" noThreeD="1"/>
</file>

<file path=xl/ctrlProps/ctrlProp53.xml><?xml version="1.0" encoding="utf-8"?>
<formControlPr xmlns="http://schemas.microsoft.com/office/spreadsheetml/2009/9/main" objectType="CheckBox" fmlaLink="AB44" lockText="1" noThreeD="1"/>
</file>

<file path=xl/ctrlProps/ctrlProp54.xml><?xml version="1.0" encoding="utf-8"?>
<formControlPr xmlns="http://schemas.microsoft.com/office/spreadsheetml/2009/9/main" objectType="CheckBox" fmlaLink="AB45" lockText="1" noThreeD="1"/>
</file>

<file path=xl/ctrlProps/ctrlProp55.xml><?xml version="1.0" encoding="utf-8"?>
<formControlPr xmlns="http://schemas.microsoft.com/office/spreadsheetml/2009/9/main" objectType="CheckBox" fmlaLink="AB46" lockText="1" noThreeD="1"/>
</file>

<file path=xl/ctrlProps/ctrlProp56.xml><?xml version="1.0" encoding="utf-8"?>
<formControlPr xmlns="http://schemas.microsoft.com/office/spreadsheetml/2009/9/main" objectType="CheckBox" fmlaLink="AB48" lockText="1" noThreeD="1"/>
</file>

<file path=xl/ctrlProps/ctrlProp57.xml><?xml version="1.0" encoding="utf-8"?>
<formControlPr xmlns="http://schemas.microsoft.com/office/spreadsheetml/2009/9/main" objectType="CheckBox" fmlaLink="AB51" lockText="1" noThreeD="1"/>
</file>

<file path=xl/ctrlProps/ctrlProp58.xml><?xml version="1.0" encoding="utf-8"?>
<formControlPr xmlns="http://schemas.microsoft.com/office/spreadsheetml/2009/9/main" objectType="CheckBox" fmlaLink="AB52" lockText="1" noThreeD="1"/>
</file>

<file path=xl/ctrlProps/ctrlProp59.xml><?xml version="1.0" encoding="utf-8"?>
<formControlPr xmlns="http://schemas.microsoft.com/office/spreadsheetml/2009/9/main" objectType="CheckBox" fmlaLink="AB53" lockText="1" noThreeD="1"/>
</file>

<file path=xl/ctrlProps/ctrlProp60.xml><?xml version="1.0" encoding="utf-8"?>
<formControlPr xmlns="http://schemas.microsoft.com/office/spreadsheetml/2009/9/main" objectType="CheckBox" fmlaLink="AB54" lockText="1" noThreeD="1"/>
</file>

<file path=xl/ctrlProps/ctrlProp61.xml><?xml version="1.0" encoding="utf-8"?>
<formControlPr xmlns="http://schemas.microsoft.com/office/spreadsheetml/2009/9/main" objectType="CheckBox" fmlaLink="AB55" lockText="1" noThreeD="1"/>
</file>

<file path=xl/ctrlProps/ctrlProp62.xml><?xml version="1.0" encoding="utf-8"?>
<formControlPr xmlns="http://schemas.microsoft.com/office/spreadsheetml/2009/9/main" objectType="CheckBox" fmlaLink="AB58" lockText="1" noThreeD="1"/>
</file>

<file path=xl/ctrlProps/ctrlProp63.xml><?xml version="1.0" encoding="utf-8"?>
<formControlPr xmlns="http://schemas.microsoft.com/office/spreadsheetml/2009/9/main" objectType="CheckBox" fmlaLink="AB59" lockText="1" noThreeD="1"/>
</file>

<file path=xl/ctrlProps/ctrlProp64.xml><?xml version="1.0" encoding="utf-8"?>
<formControlPr xmlns="http://schemas.microsoft.com/office/spreadsheetml/2009/9/main" objectType="CheckBox" fmlaLink="AB60" lockText="1" noThreeD="1"/>
</file>

<file path=xl/ctrlProps/ctrlProp65.xml><?xml version="1.0" encoding="utf-8"?>
<formControlPr xmlns="http://schemas.microsoft.com/office/spreadsheetml/2009/9/main" objectType="CheckBox" fmlaLink="AB62" lockText="1" noThreeD="1"/>
</file>

<file path=xl/ctrlProps/ctrlProp66.xml><?xml version="1.0" encoding="utf-8"?>
<formControlPr xmlns="http://schemas.microsoft.com/office/spreadsheetml/2009/9/main" objectType="CheckBox" fmlaLink="AB65" lockText="1" noThreeD="1"/>
</file>

<file path=xl/ctrlProps/ctrlProp67.xml><?xml version="1.0" encoding="utf-8"?>
<formControlPr xmlns="http://schemas.microsoft.com/office/spreadsheetml/2009/9/main" objectType="CheckBox" fmlaLink="AB66" lockText="1" noThreeD="1"/>
</file>

<file path=xl/ctrlProps/ctrlProp68.xml><?xml version="1.0" encoding="utf-8"?>
<formControlPr xmlns="http://schemas.microsoft.com/office/spreadsheetml/2009/9/main" objectType="CheckBox" fmlaLink="AB67" lockText="1" noThreeD="1"/>
</file>

<file path=xl/ctrlProps/ctrlProp69.xml><?xml version="1.0" encoding="utf-8"?>
<formControlPr xmlns="http://schemas.microsoft.com/office/spreadsheetml/2009/9/main" objectType="CheckBox" fmlaLink="AB68" lockText="1" noThreeD="1"/>
</file>

<file path=xl/ctrlProps/ctrlProp70.xml><?xml version="1.0" encoding="utf-8"?>
<formControlPr xmlns="http://schemas.microsoft.com/office/spreadsheetml/2009/9/main" objectType="CheckBox" fmlaLink="AB69" lockText="1" noThreeD="1"/>
</file>

<file path=xl/ctrlProps/ctrlProp71.xml><?xml version="1.0" encoding="utf-8"?>
<formControlPr xmlns="http://schemas.microsoft.com/office/spreadsheetml/2009/9/main" objectType="CheckBox" fmlaLink="AB72" lockText="1" noThreeD="1"/>
</file>

<file path=xl/ctrlProps/ctrlProp72.xml><?xml version="1.0" encoding="utf-8"?>
<formControlPr xmlns="http://schemas.microsoft.com/office/spreadsheetml/2009/9/main" objectType="CheckBox" fmlaLink="AB73" lockText="1" noThreeD="1"/>
</file>

<file path=xl/ctrlProps/ctrlProp73.xml><?xml version="1.0" encoding="utf-8"?>
<formControlPr xmlns="http://schemas.microsoft.com/office/spreadsheetml/2009/9/main" objectType="CheckBox" fmlaLink="AB74" lockText="1" noThreeD="1"/>
</file>

<file path=xl/ctrlProps/ctrlProp74.xml><?xml version="1.0" encoding="utf-8"?>
<formControlPr xmlns="http://schemas.microsoft.com/office/spreadsheetml/2009/9/main" objectType="CheckBox" fmlaLink="AB76" lockText="1" noThreeD="1"/>
</file>

<file path=xl/ctrlProps/ctrlProp75.xml><?xml version="1.0" encoding="utf-8"?>
<formControlPr xmlns="http://schemas.microsoft.com/office/spreadsheetml/2009/9/main" objectType="CheckBox" fmlaLink="AA19" lockText="1" noThreeD="1"/>
</file>

<file path=xl/ctrlProps/ctrlProp76.xml><?xml version="1.0" encoding="utf-8"?>
<formControlPr xmlns="http://schemas.microsoft.com/office/spreadsheetml/2009/9/main" objectType="CheckBox" fmlaLink="AB19" lockText="1" noThreeD="1"/>
</file>

<file path=xl/ctrlProps/ctrlProp77.xml><?xml version="1.0" encoding="utf-8"?>
<formControlPr xmlns="http://schemas.microsoft.com/office/spreadsheetml/2009/9/main" objectType="CheckBox" fmlaLink="AA18" lockText="1" noThreeD="1"/>
</file>

<file path=xl/ctrlProps/ctrlProp78.xml><?xml version="1.0" encoding="utf-8"?>
<formControlPr xmlns="http://schemas.microsoft.com/office/spreadsheetml/2009/9/main" objectType="CheckBox" fmlaLink="AB18" lockText="1" noThreeD="1"/>
</file>

<file path=xl/ctrlProps/ctrlProp79.xml><?xml version="1.0" encoding="utf-8"?>
<formControlPr xmlns="http://schemas.microsoft.com/office/spreadsheetml/2009/9/main" objectType="CheckBox" fmlaLink="AA26" lockText="1" noThreeD="1"/>
</file>

<file path=xl/ctrlProps/ctrlProp80.xml><?xml version="1.0" encoding="utf-8"?>
<formControlPr xmlns="http://schemas.microsoft.com/office/spreadsheetml/2009/9/main" objectType="CheckBox" fmlaLink="AB26" lockText="1" noThreeD="1"/>
</file>

<file path=xl/ctrlProps/ctrlProp81.xml><?xml version="1.0" encoding="utf-8"?>
<formControlPr xmlns="http://schemas.microsoft.com/office/spreadsheetml/2009/9/main" objectType="CheckBox" fmlaLink="AA33" lockText="1" noThreeD="1"/>
</file>

<file path=xl/ctrlProps/ctrlProp82.xml><?xml version="1.0" encoding="utf-8"?>
<formControlPr xmlns="http://schemas.microsoft.com/office/spreadsheetml/2009/9/main" objectType="CheckBox" fmlaLink="AB33" lockText="1" noThreeD="1"/>
</file>

<file path=xl/ctrlProps/ctrlProp83.xml><?xml version="1.0" encoding="utf-8"?>
<formControlPr xmlns="http://schemas.microsoft.com/office/spreadsheetml/2009/9/main" objectType="CheckBox" fmlaLink="AA40" lockText="1" noThreeD="1"/>
</file>

<file path=xl/ctrlProps/ctrlProp84.xml><?xml version="1.0" encoding="utf-8"?>
<formControlPr xmlns="http://schemas.microsoft.com/office/spreadsheetml/2009/9/main" objectType="CheckBox" fmlaLink="AB40" lockText="1" noThreeD="1"/>
</file>

<file path=xl/ctrlProps/ctrlProp85.xml><?xml version="1.0" encoding="utf-8"?>
<formControlPr xmlns="http://schemas.microsoft.com/office/spreadsheetml/2009/9/main" objectType="CheckBox" fmlaLink="AA47" lockText="1" noThreeD="1"/>
</file>

<file path=xl/ctrlProps/ctrlProp86.xml><?xml version="1.0" encoding="utf-8"?>
<formControlPr xmlns="http://schemas.microsoft.com/office/spreadsheetml/2009/9/main" objectType="CheckBox" fmlaLink="AB47" lockText="1" noThreeD="1"/>
</file>

<file path=xl/ctrlProps/ctrlProp87.xml><?xml version="1.0" encoding="utf-8"?>
<formControlPr xmlns="http://schemas.microsoft.com/office/spreadsheetml/2009/9/main" objectType="CheckBox" fmlaLink="AA61" lockText="1" noThreeD="1"/>
</file>

<file path=xl/ctrlProps/ctrlProp88.xml><?xml version="1.0" encoding="utf-8"?>
<formControlPr xmlns="http://schemas.microsoft.com/office/spreadsheetml/2009/9/main" objectType="CheckBox" fmlaLink="AB61" lockText="1" noThreeD="1"/>
</file>

<file path=xl/ctrlProps/ctrlProp89.xml><?xml version="1.0" encoding="utf-8"?>
<formControlPr xmlns="http://schemas.microsoft.com/office/spreadsheetml/2009/9/main" objectType="CheckBox" fmlaLink="AA75" lockText="1" noThreeD="1"/>
</file>

<file path=xl/ctrlProps/ctrlProp90.xml><?xml version="1.0" encoding="utf-8"?>
<formControlPr xmlns="http://schemas.microsoft.com/office/spreadsheetml/2009/9/main" objectType="CheckBox" fmlaLink="AB75" lockText="1" noThreeD="1"/>
</file>

<file path=xl/ctrlProps/ctrlProp91.xml><?xml version="1.0" encoding="utf-8"?>
<formControlPr xmlns="http://schemas.microsoft.com/office/spreadsheetml/2009/9/main" objectType="CheckBox" fmlaLink="AA16" lockText="1" noThreeD="1"/>
</file>

<file path=xl/ctrlProps/ctrlProp92.xml><?xml version="1.0" encoding="utf-8"?>
<formControlPr xmlns="http://schemas.microsoft.com/office/spreadsheetml/2009/9/main" objectType="CheckBox" fmlaLink="AA17" lockText="1" noThreeD="1"/>
</file>

<file path=xl/ctrlProps/ctrlProp93.xml><?xml version="1.0" encoding="utf-8"?>
<formControlPr xmlns="http://schemas.microsoft.com/office/spreadsheetml/2009/9/main" objectType="CheckBox" fmlaLink="AA20" lockText="1" noThreeD="1"/>
</file>

<file path=xl/ctrlProps/ctrlProp94.xml><?xml version="1.0" encoding="utf-8"?>
<formControlPr xmlns="http://schemas.microsoft.com/office/spreadsheetml/2009/9/main" objectType="CheckBox" fmlaLink="AA23" lockText="1" noThreeD="1"/>
</file>

<file path=xl/ctrlProps/ctrlProp95.xml><?xml version="1.0" encoding="utf-8"?>
<formControlPr xmlns="http://schemas.microsoft.com/office/spreadsheetml/2009/9/main" objectType="CheckBox" fmlaLink="AA24" lockText="1" noThreeD="1"/>
</file>

<file path=xl/ctrlProps/ctrlProp96.xml><?xml version="1.0" encoding="utf-8"?>
<formControlPr xmlns="http://schemas.microsoft.com/office/spreadsheetml/2009/9/main" objectType="CheckBox" fmlaLink="AA25" lockText="1" noThreeD="1"/>
</file>

<file path=xl/ctrlProps/ctrlProp97.xml><?xml version="1.0" encoding="utf-8"?>
<formControlPr xmlns="http://schemas.microsoft.com/office/spreadsheetml/2009/9/main" objectType="CheckBox" fmlaLink="AA27" lockText="1" noThreeD="1"/>
</file>

<file path=xl/ctrlProps/ctrlProp98.xml><?xml version="1.0" encoding="utf-8"?>
<formControlPr xmlns="http://schemas.microsoft.com/office/spreadsheetml/2009/9/main" objectType="CheckBox" fmlaLink="AA30" lockText="1" noThreeD="1"/>
</file>

<file path=xl/ctrlProps/ctrlProp99.xml><?xml version="1.0" encoding="utf-8"?>
<formControlPr xmlns="http://schemas.microsoft.com/office/spreadsheetml/2009/9/main" objectType="CheckBox" fmlaLink="AA31" lockText="1" noThreeD="1"/>
</file>

<file path=xl/ctrlProps/ctrlProp100.xml><?xml version="1.0" encoding="utf-8"?>
<formControlPr xmlns="http://schemas.microsoft.com/office/spreadsheetml/2009/9/main" objectType="CheckBox" fmlaLink="AA32" lockText="1" noThreeD="1"/>
</file>

<file path=xl/ctrlProps/ctrlProp101.xml><?xml version="1.0" encoding="utf-8"?>
<formControlPr xmlns="http://schemas.microsoft.com/office/spreadsheetml/2009/9/main" objectType="CheckBox" fmlaLink="AA34" lockText="1" noThreeD="1"/>
</file>

<file path=xl/ctrlProps/ctrlProp102.xml><?xml version="1.0" encoding="utf-8"?>
<formControlPr xmlns="http://schemas.microsoft.com/office/spreadsheetml/2009/9/main" objectType="CheckBox" fmlaLink="AA37" lockText="1" noThreeD="1"/>
</file>

<file path=xl/ctrlProps/ctrlProp103.xml><?xml version="1.0" encoding="utf-8"?>
<formControlPr xmlns="http://schemas.microsoft.com/office/spreadsheetml/2009/9/main" objectType="CheckBox" fmlaLink="AA38" lockText="1" noThreeD="1"/>
</file>

<file path=xl/ctrlProps/ctrlProp104.xml><?xml version="1.0" encoding="utf-8"?>
<formControlPr xmlns="http://schemas.microsoft.com/office/spreadsheetml/2009/9/main" objectType="CheckBox" fmlaLink="AA39" lockText="1" noThreeD="1"/>
</file>

<file path=xl/ctrlProps/ctrlProp105.xml><?xml version="1.0" encoding="utf-8"?>
<formControlPr xmlns="http://schemas.microsoft.com/office/spreadsheetml/2009/9/main" objectType="CheckBox" fmlaLink="AA41" lockText="1" noThreeD="1"/>
</file>

<file path=xl/ctrlProps/ctrlProp106.xml><?xml version="1.0" encoding="utf-8"?>
<formControlPr xmlns="http://schemas.microsoft.com/office/spreadsheetml/2009/9/main" objectType="CheckBox" fmlaLink="AA44" lockText="1" noThreeD="1"/>
</file>

<file path=xl/ctrlProps/ctrlProp107.xml><?xml version="1.0" encoding="utf-8"?>
<formControlPr xmlns="http://schemas.microsoft.com/office/spreadsheetml/2009/9/main" objectType="CheckBox" fmlaLink="AA45" lockText="1" noThreeD="1"/>
</file>

<file path=xl/ctrlProps/ctrlProp108.xml><?xml version="1.0" encoding="utf-8"?>
<formControlPr xmlns="http://schemas.microsoft.com/office/spreadsheetml/2009/9/main" objectType="CheckBox" fmlaLink="AA46" lockText="1" noThreeD="1"/>
</file>

<file path=xl/ctrlProps/ctrlProp109.xml><?xml version="1.0" encoding="utf-8"?>
<formControlPr xmlns="http://schemas.microsoft.com/office/spreadsheetml/2009/9/main" objectType="CheckBox" fmlaLink="AA48" lockText="1" noThreeD="1"/>
</file>

<file path=xl/ctrlProps/ctrlProp110.xml><?xml version="1.0" encoding="utf-8"?>
<formControlPr xmlns="http://schemas.microsoft.com/office/spreadsheetml/2009/9/main" objectType="CheckBox" fmlaLink="AA51" lockText="1" noThreeD="1"/>
</file>

<file path=xl/ctrlProps/ctrlProp111.xml><?xml version="1.0" encoding="utf-8"?>
<formControlPr xmlns="http://schemas.microsoft.com/office/spreadsheetml/2009/9/main" objectType="CheckBox" fmlaLink="AA52" lockText="1" noThreeD="1"/>
</file>

<file path=xl/ctrlProps/ctrlProp112.xml><?xml version="1.0" encoding="utf-8"?>
<formControlPr xmlns="http://schemas.microsoft.com/office/spreadsheetml/2009/9/main" objectType="CheckBox" fmlaLink="AA53" lockText="1" noThreeD="1"/>
</file>

<file path=xl/ctrlProps/ctrlProp113.xml><?xml version="1.0" encoding="utf-8"?>
<formControlPr xmlns="http://schemas.microsoft.com/office/spreadsheetml/2009/9/main" objectType="CheckBox" fmlaLink="AA54" lockText="1" noThreeD="1"/>
</file>

<file path=xl/ctrlProps/ctrlProp114.xml><?xml version="1.0" encoding="utf-8"?>
<formControlPr xmlns="http://schemas.microsoft.com/office/spreadsheetml/2009/9/main" objectType="CheckBox" fmlaLink="AA55" lockText="1" noThreeD="1"/>
</file>

<file path=xl/ctrlProps/ctrlProp115.xml><?xml version="1.0" encoding="utf-8"?>
<formControlPr xmlns="http://schemas.microsoft.com/office/spreadsheetml/2009/9/main" objectType="CheckBox" fmlaLink="AA58" lockText="1" noThreeD="1"/>
</file>

<file path=xl/ctrlProps/ctrlProp116.xml><?xml version="1.0" encoding="utf-8"?>
<formControlPr xmlns="http://schemas.microsoft.com/office/spreadsheetml/2009/9/main" objectType="CheckBox" fmlaLink="AA59" lockText="1" noThreeD="1"/>
</file>

<file path=xl/ctrlProps/ctrlProp117.xml><?xml version="1.0" encoding="utf-8"?>
<formControlPr xmlns="http://schemas.microsoft.com/office/spreadsheetml/2009/9/main" objectType="CheckBox" fmlaLink="AA60" lockText="1" noThreeD="1"/>
</file>

<file path=xl/ctrlProps/ctrlProp118.xml><?xml version="1.0" encoding="utf-8"?>
<formControlPr xmlns="http://schemas.microsoft.com/office/spreadsheetml/2009/9/main" objectType="CheckBox" fmlaLink="AA62" lockText="1" noThreeD="1"/>
</file>

<file path=xl/ctrlProps/ctrlProp119.xml><?xml version="1.0" encoding="utf-8"?>
<formControlPr xmlns="http://schemas.microsoft.com/office/spreadsheetml/2009/9/main" objectType="CheckBox" fmlaLink="AA65" lockText="1" noThreeD="1"/>
</file>

<file path=xl/ctrlProps/ctrlProp120.xml><?xml version="1.0" encoding="utf-8"?>
<formControlPr xmlns="http://schemas.microsoft.com/office/spreadsheetml/2009/9/main" objectType="CheckBox" fmlaLink="AA66" lockText="1" noThreeD="1"/>
</file>

<file path=xl/ctrlProps/ctrlProp121.xml><?xml version="1.0" encoding="utf-8"?>
<formControlPr xmlns="http://schemas.microsoft.com/office/spreadsheetml/2009/9/main" objectType="CheckBox" fmlaLink="AA67" lockText="1" noThreeD="1"/>
</file>

<file path=xl/ctrlProps/ctrlProp122.xml><?xml version="1.0" encoding="utf-8"?>
<formControlPr xmlns="http://schemas.microsoft.com/office/spreadsheetml/2009/9/main" objectType="CheckBox" fmlaLink="AA68" lockText="1" noThreeD="1"/>
</file>

<file path=xl/ctrlProps/ctrlProp123.xml><?xml version="1.0" encoding="utf-8"?>
<formControlPr xmlns="http://schemas.microsoft.com/office/spreadsheetml/2009/9/main" objectType="CheckBox" fmlaLink="AA69" lockText="1" noThreeD="1"/>
</file>

<file path=xl/ctrlProps/ctrlProp124.xml><?xml version="1.0" encoding="utf-8"?>
<formControlPr xmlns="http://schemas.microsoft.com/office/spreadsheetml/2009/9/main" objectType="CheckBox" fmlaLink="AA72" lockText="1" noThreeD="1"/>
</file>

<file path=xl/ctrlProps/ctrlProp125.xml><?xml version="1.0" encoding="utf-8"?>
<formControlPr xmlns="http://schemas.microsoft.com/office/spreadsheetml/2009/9/main" objectType="CheckBox" fmlaLink="AA73" lockText="1" noThreeD="1"/>
</file>

<file path=xl/ctrlProps/ctrlProp126.xml><?xml version="1.0" encoding="utf-8"?>
<formControlPr xmlns="http://schemas.microsoft.com/office/spreadsheetml/2009/9/main" objectType="CheckBox" fmlaLink="AA74" lockText="1" noThreeD="1"/>
</file>

<file path=xl/ctrlProps/ctrlProp127.xml><?xml version="1.0" encoding="utf-8"?>
<formControlPr xmlns="http://schemas.microsoft.com/office/spreadsheetml/2009/9/main" objectType="CheckBox" fmlaLink="AA76" lockText="1" noThreeD="1"/>
</file>

<file path=xl/ctrlProps/ctrlProp128.xml><?xml version="1.0" encoding="utf-8"?>
<formControlPr xmlns="http://schemas.microsoft.com/office/spreadsheetml/2009/9/main" objectType="CheckBox" fmlaLink="AB16" lockText="1" noThreeD="1"/>
</file>

<file path=xl/ctrlProps/ctrlProp129.xml><?xml version="1.0" encoding="utf-8"?>
<formControlPr xmlns="http://schemas.microsoft.com/office/spreadsheetml/2009/9/main" objectType="CheckBox" fmlaLink="AB17" lockText="1" noThreeD="1"/>
</file>

<file path=xl/ctrlProps/ctrlProp130.xml><?xml version="1.0" encoding="utf-8"?>
<formControlPr xmlns="http://schemas.microsoft.com/office/spreadsheetml/2009/9/main" objectType="CheckBox" fmlaLink="AB20" lockText="1" noThreeD="1"/>
</file>

<file path=xl/ctrlProps/ctrlProp131.xml><?xml version="1.0" encoding="utf-8"?>
<formControlPr xmlns="http://schemas.microsoft.com/office/spreadsheetml/2009/9/main" objectType="CheckBox" fmlaLink="AB23" lockText="1" noThreeD="1"/>
</file>

<file path=xl/ctrlProps/ctrlProp132.xml><?xml version="1.0" encoding="utf-8"?>
<formControlPr xmlns="http://schemas.microsoft.com/office/spreadsheetml/2009/9/main" objectType="CheckBox" fmlaLink="AB24" lockText="1" noThreeD="1"/>
</file>

<file path=xl/ctrlProps/ctrlProp133.xml><?xml version="1.0" encoding="utf-8"?>
<formControlPr xmlns="http://schemas.microsoft.com/office/spreadsheetml/2009/9/main" objectType="CheckBox" fmlaLink="AB25" lockText="1" noThreeD="1"/>
</file>

<file path=xl/ctrlProps/ctrlProp134.xml><?xml version="1.0" encoding="utf-8"?>
<formControlPr xmlns="http://schemas.microsoft.com/office/spreadsheetml/2009/9/main" objectType="CheckBox" fmlaLink="AB27" lockText="1" noThreeD="1"/>
</file>

<file path=xl/ctrlProps/ctrlProp135.xml><?xml version="1.0" encoding="utf-8"?>
<formControlPr xmlns="http://schemas.microsoft.com/office/spreadsheetml/2009/9/main" objectType="CheckBox" fmlaLink="AB30" lockText="1" noThreeD="1"/>
</file>

<file path=xl/ctrlProps/ctrlProp136.xml><?xml version="1.0" encoding="utf-8"?>
<formControlPr xmlns="http://schemas.microsoft.com/office/spreadsheetml/2009/9/main" objectType="CheckBox" fmlaLink="AB31" lockText="1" noThreeD="1"/>
</file>

<file path=xl/ctrlProps/ctrlProp137.xml><?xml version="1.0" encoding="utf-8"?>
<formControlPr xmlns="http://schemas.microsoft.com/office/spreadsheetml/2009/9/main" objectType="CheckBox" fmlaLink="AB32" lockText="1" noThreeD="1"/>
</file>

<file path=xl/ctrlProps/ctrlProp138.xml><?xml version="1.0" encoding="utf-8"?>
<formControlPr xmlns="http://schemas.microsoft.com/office/spreadsheetml/2009/9/main" objectType="CheckBox" fmlaLink="AB34" lockText="1" noThreeD="1"/>
</file>

<file path=xl/ctrlProps/ctrlProp139.xml><?xml version="1.0" encoding="utf-8"?>
<formControlPr xmlns="http://schemas.microsoft.com/office/spreadsheetml/2009/9/main" objectType="CheckBox" fmlaLink="AB37" lockText="1" noThreeD="1"/>
</file>

<file path=xl/ctrlProps/ctrlProp140.xml><?xml version="1.0" encoding="utf-8"?>
<formControlPr xmlns="http://schemas.microsoft.com/office/spreadsheetml/2009/9/main" objectType="CheckBox" fmlaLink="AB38" lockText="1" noThreeD="1"/>
</file>

<file path=xl/ctrlProps/ctrlProp141.xml><?xml version="1.0" encoding="utf-8"?>
<formControlPr xmlns="http://schemas.microsoft.com/office/spreadsheetml/2009/9/main" objectType="CheckBox" fmlaLink="AB39" lockText="1" noThreeD="1"/>
</file>

<file path=xl/ctrlProps/ctrlProp142.xml><?xml version="1.0" encoding="utf-8"?>
<formControlPr xmlns="http://schemas.microsoft.com/office/spreadsheetml/2009/9/main" objectType="CheckBox" fmlaLink="AB41" lockText="1" noThreeD="1"/>
</file>

<file path=xl/ctrlProps/ctrlProp143.xml><?xml version="1.0" encoding="utf-8"?>
<formControlPr xmlns="http://schemas.microsoft.com/office/spreadsheetml/2009/9/main" objectType="CheckBox" fmlaLink="AB44" lockText="1" noThreeD="1"/>
</file>

<file path=xl/ctrlProps/ctrlProp144.xml><?xml version="1.0" encoding="utf-8"?>
<formControlPr xmlns="http://schemas.microsoft.com/office/spreadsheetml/2009/9/main" objectType="CheckBox" fmlaLink="AB45" lockText="1" noThreeD="1"/>
</file>

<file path=xl/ctrlProps/ctrlProp145.xml><?xml version="1.0" encoding="utf-8"?>
<formControlPr xmlns="http://schemas.microsoft.com/office/spreadsheetml/2009/9/main" objectType="CheckBox" fmlaLink="AB46" lockText="1" noThreeD="1"/>
</file>

<file path=xl/ctrlProps/ctrlProp146.xml><?xml version="1.0" encoding="utf-8"?>
<formControlPr xmlns="http://schemas.microsoft.com/office/spreadsheetml/2009/9/main" objectType="CheckBox" fmlaLink="AB48" lockText="1" noThreeD="1"/>
</file>

<file path=xl/ctrlProps/ctrlProp147.xml><?xml version="1.0" encoding="utf-8"?>
<formControlPr xmlns="http://schemas.microsoft.com/office/spreadsheetml/2009/9/main" objectType="CheckBox" fmlaLink="AB51" lockText="1" noThreeD="1"/>
</file>

<file path=xl/ctrlProps/ctrlProp148.xml><?xml version="1.0" encoding="utf-8"?>
<formControlPr xmlns="http://schemas.microsoft.com/office/spreadsheetml/2009/9/main" objectType="CheckBox" fmlaLink="AB52" lockText="1" noThreeD="1"/>
</file>

<file path=xl/ctrlProps/ctrlProp149.xml><?xml version="1.0" encoding="utf-8"?>
<formControlPr xmlns="http://schemas.microsoft.com/office/spreadsheetml/2009/9/main" objectType="CheckBox" fmlaLink="AB53" lockText="1" noThreeD="1"/>
</file>

<file path=xl/ctrlProps/ctrlProp150.xml><?xml version="1.0" encoding="utf-8"?>
<formControlPr xmlns="http://schemas.microsoft.com/office/spreadsheetml/2009/9/main" objectType="CheckBox" fmlaLink="AB54" lockText="1" noThreeD="1"/>
</file>

<file path=xl/ctrlProps/ctrlProp151.xml><?xml version="1.0" encoding="utf-8"?>
<formControlPr xmlns="http://schemas.microsoft.com/office/spreadsheetml/2009/9/main" objectType="CheckBox" fmlaLink="AB55" lockText="1" noThreeD="1"/>
</file>

<file path=xl/ctrlProps/ctrlProp152.xml><?xml version="1.0" encoding="utf-8"?>
<formControlPr xmlns="http://schemas.microsoft.com/office/spreadsheetml/2009/9/main" objectType="CheckBox" fmlaLink="AB58" lockText="1" noThreeD="1"/>
</file>

<file path=xl/ctrlProps/ctrlProp153.xml><?xml version="1.0" encoding="utf-8"?>
<formControlPr xmlns="http://schemas.microsoft.com/office/spreadsheetml/2009/9/main" objectType="CheckBox" fmlaLink="AB59" lockText="1" noThreeD="1"/>
</file>

<file path=xl/ctrlProps/ctrlProp154.xml><?xml version="1.0" encoding="utf-8"?>
<formControlPr xmlns="http://schemas.microsoft.com/office/spreadsheetml/2009/9/main" objectType="CheckBox" fmlaLink="AB60" lockText="1" noThreeD="1"/>
</file>

<file path=xl/ctrlProps/ctrlProp155.xml><?xml version="1.0" encoding="utf-8"?>
<formControlPr xmlns="http://schemas.microsoft.com/office/spreadsheetml/2009/9/main" objectType="CheckBox" fmlaLink="AB62" lockText="1" noThreeD="1"/>
</file>

<file path=xl/ctrlProps/ctrlProp156.xml><?xml version="1.0" encoding="utf-8"?>
<formControlPr xmlns="http://schemas.microsoft.com/office/spreadsheetml/2009/9/main" objectType="CheckBox" fmlaLink="AB65" lockText="1" noThreeD="1"/>
</file>

<file path=xl/ctrlProps/ctrlProp157.xml><?xml version="1.0" encoding="utf-8"?>
<formControlPr xmlns="http://schemas.microsoft.com/office/spreadsheetml/2009/9/main" objectType="CheckBox" fmlaLink="AB66" lockText="1" noThreeD="1"/>
</file>

<file path=xl/ctrlProps/ctrlProp158.xml><?xml version="1.0" encoding="utf-8"?>
<formControlPr xmlns="http://schemas.microsoft.com/office/spreadsheetml/2009/9/main" objectType="CheckBox" fmlaLink="AB67" lockText="1" noThreeD="1"/>
</file>

<file path=xl/ctrlProps/ctrlProp159.xml><?xml version="1.0" encoding="utf-8"?>
<formControlPr xmlns="http://schemas.microsoft.com/office/spreadsheetml/2009/9/main" objectType="CheckBox" fmlaLink="AB68" lockText="1" noThreeD="1"/>
</file>

<file path=xl/ctrlProps/ctrlProp160.xml><?xml version="1.0" encoding="utf-8"?>
<formControlPr xmlns="http://schemas.microsoft.com/office/spreadsheetml/2009/9/main" objectType="CheckBox" fmlaLink="AB69" lockText="1" noThreeD="1"/>
</file>

<file path=xl/ctrlProps/ctrlProp161.xml><?xml version="1.0" encoding="utf-8"?>
<formControlPr xmlns="http://schemas.microsoft.com/office/spreadsheetml/2009/9/main" objectType="CheckBox" fmlaLink="AB72" lockText="1" noThreeD="1"/>
</file>

<file path=xl/ctrlProps/ctrlProp162.xml><?xml version="1.0" encoding="utf-8"?>
<formControlPr xmlns="http://schemas.microsoft.com/office/spreadsheetml/2009/9/main" objectType="CheckBox" fmlaLink="AB73" lockText="1" noThreeD="1"/>
</file>

<file path=xl/ctrlProps/ctrlProp163.xml><?xml version="1.0" encoding="utf-8"?>
<formControlPr xmlns="http://schemas.microsoft.com/office/spreadsheetml/2009/9/main" objectType="CheckBox" fmlaLink="AB74" lockText="1" noThreeD="1"/>
</file>

<file path=xl/ctrlProps/ctrlProp164.xml><?xml version="1.0" encoding="utf-8"?>
<formControlPr xmlns="http://schemas.microsoft.com/office/spreadsheetml/2009/9/main" objectType="CheckBox" fmlaLink="AB76" lockText="1" noThreeD="1"/>
</file>

<file path=xl/ctrlProps/ctrlProp165.xml><?xml version="1.0" encoding="utf-8"?>
<formControlPr xmlns="http://schemas.microsoft.com/office/spreadsheetml/2009/9/main" objectType="CheckBox" fmlaLink="AA19" lockText="1" noThreeD="1"/>
</file>

<file path=xl/ctrlProps/ctrlProp166.xml><?xml version="1.0" encoding="utf-8"?>
<formControlPr xmlns="http://schemas.microsoft.com/office/spreadsheetml/2009/9/main" objectType="CheckBox" fmlaLink="AB19" lockText="1" noThreeD="1"/>
</file>

<file path=xl/ctrlProps/ctrlProp167.xml><?xml version="1.0" encoding="utf-8"?>
<formControlPr xmlns="http://schemas.microsoft.com/office/spreadsheetml/2009/9/main" objectType="CheckBox" fmlaLink="AA18" lockText="1" noThreeD="1"/>
</file>

<file path=xl/ctrlProps/ctrlProp168.xml><?xml version="1.0" encoding="utf-8"?>
<formControlPr xmlns="http://schemas.microsoft.com/office/spreadsheetml/2009/9/main" objectType="CheckBox" fmlaLink="AB18" lockText="1" noThreeD="1"/>
</file>

<file path=xl/ctrlProps/ctrlProp169.xml><?xml version="1.0" encoding="utf-8"?>
<formControlPr xmlns="http://schemas.microsoft.com/office/spreadsheetml/2009/9/main" objectType="CheckBox" fmlaLink="AA26" lockText="1" noThreeD="1"/>
</file>

<file path=xl/ctrlProps/ctrlProp170.xml><?xml version="1.0" encoding="utf-8"?>
<formControlPr xmlns="http://schemas.microsoft.com/office/spreadsheetml/2009/9/main" objectType="CheckBox" fmlaLink="AB26" lockText="1" noThreeD="1"/>
</file>

<file path=xl/ctrlProps/ctrlProp171.xml><?xml version="1.0" encoding="utf-8"?>
<formControlPr xmlns="http://schemas.microsoft.com/office/spreadsheetml/2009/9/main" objectType="CheckBox" fmlaLink="AA33" lockText="1" noThreeD="1"/>
</file>

<file path=xl/ctrlProps/ctrlProp172.xml><?xml version="1.0" encoding="utf-8"?>
<formControlPr xmlns="http://schemas.microsoft.com/office/spreadsheetml/2009/9/main" objectType="CheckBox" fmlaLink="AB33" lockText="1" noThreeD="1"/>
</file>

<file path=xl/ctrlProps/ctrlProp173.xml><?xml version="1.0" encoding="utf-8"?>
<formControlPr xmlns="http://schemas.microsoft.com/office/spreadsheetml/2009/9/main" objectType="CheckBox" fmlaLink="AA40" lockText="1" noThreeD="1"/>
</file>

<file path=xl/ctrlProps/ctrlProp174.xml><?xml version="1.0" encoding="utf-8"?>
<formControlPr xmlns="http://schemas.microsoft.com/office/spreadsheetml/2009/9/main" objectType="CheckBox" fmlaLink="AB40" lockText="1" noThreeD="1"/>
</file>

<file path=xl/ctrlProps/ctrlProp175.xml><?xml version="1.0" encoding="utf-8"?>
<formControlPr xmlns="http://schemas.microsoft.com/office/spreadsheetml/2009/9/main" objectType="CheckBox" fmlaLink="AA47" lockText="1" noThreeD="1"/>
</file>

<file path=xl/ctrlProps/ctrlProp176.xml><?xml version="1.0" encoding="utf-8"?>
<formControlPr xmlns="http://schemas.microsoft.com/office/spreadsheetml/2009/9/main" objectType="CheckBox" fmlaLink="AB47" lockText="1" noThreeD="1"/>
</file>

<file path=xl/ctrlProps/ctrlProp177.xml><?xml version="1.0" encoding="utf-8"?>
<formControlPr xmlns="http://schemas.microsoft.com/office/spreadsheetml/2009/9/main" objectType="CheckBox" fmlaLink="AA61" lockText="1" noThreeD="1"/>
</file>

<file path=xl/ctrlProps/ctrlProp178.xml><?xml version="1.0" encoding="utf-8"?>
<formControlPr xmlns="http://schemas.microsoft.com/office/spreadsheetml/2009/9/main" objectType="CheckBox" fmlaLink="AB61" lockText="1" noThreeD="1"/>
</file>

<file path=xl/ctrlProps/ctrlProp179.xml><?xml version="1.0" encoding="utf-8"?>
<formControlPr xmlns="http://schemas.microsoft.com/office/spreadsheetml/2009/9/main" objectType="CheckBox" fmlaLink="AA75" lockText="1" noThreeD="1"/>
</file>

<file path=xl/ctrlProps/ctrlProp180.xml><?xml version="1.0" encoding="utf-8"?>
<formControlPr xmlns="http://schemas.microsoft.com/office/spreadsheetml/2009/9/main" objectType="CheckBox" fmlaLink="AB75" lockText="1" noThreeD="1"/>
</file>

<file path=xl/ctrlProps/ctrlProp181.xml><?xml version="1.0" encoding="utf-8"?>
<formControlPr xmlns="http://schemas.microsoft.com/office/spreadsheetml/2009/9/main" objectType="CheckBox" fmlaLink="AA16" lockText="1" noThreeD="1"/>
</file>

<file path=xl/ctrlProps/ctrlProp182.xml><?xml version="1.0" encoding="utf-8"?>
<formControlPr xmlns="http://schemas.microsoft.com/office/spreadsheetml/2009/9/main" objectType="CheckBox" checked="Checked" fmlaLink="AA17" lockText="1" noThreeD="1"/>
</file>

<file path=xl/ctrlProps/ctrlProp183.xml><?xml version="1.0" encoding="utf-8"?>
<formControlPr xmlns="http://schemas.microsoft.com/office/spreadsheetml/2009/9/main" objectType="CheckBox" fmlaLink="AA20" lockText="1" noThreeD="1"/>
</file>

<file path=xl/ctrlProps/ctrlProp184.xml><?xml version="1.0" encoding="utf-8"?>
<formControlPr xmlns="http://schemas.microsoft.com/office/spreadsheetml/2009/9/main" objectType="CheckBox" fmlaLink="AA23" lockText="1" noThreeD="1"/>
</file>

<file path=xl/ctrlProps/ctrlProp185.xml><?xml version="1.0" encoding="utf-8"?>
<formControlPr xmlns="http://schemas.microsoft.com/office/spreadsheetml/2009/9/main" objectType="CheckBox" fmlaLink="AA24" lockText="1" noThreeD="1"/>
</file>

<file path=xl/ctrlProps/ctrlProp186.xml><?xml version="1.0" encoding="utf-8"?>
<formControlPr xmlns="http://schemas.microsoft.com/office/spreadsheetml/2009/9/main" objectType="CheckBox" fmlaLink="AA25" lockText="1" noThreeD="1"/>
</file>

<file path=xl/ctrlProps/ctrlProp187.xml><?xml version="1.0" encoding="utf-8"?>
<formControlPr xmlns="http://schemas.microsoft.com/office/spreadsheetml/2009/9/main" objectType="CheckBox" fmlaLink="AA27" lockText="1" noThreeD="1"/>
</file>

<file path=xl/ctrlProps/ctrlProp188.xml><?xml version="1.0" encoding="utf-8"?>
<formControlPr xmlns="http://schemas.microsoft.com/office/spreadsheetml/2009/9/main" objectType="CheckBox" checked="Checked" fmlaLink="AA30" lockText="1" noThreeD="1"/>
</file>

<file path=xl/ctrlProps/ctrlProp189.xml><?xml version="1.0" encoding="utf-8"?>
<formControlPr xmlns="http://schemas.microsoft.com/office/spreadsheetml/2009/9/main" objectType="CheckBox" checked="Checked" fmlaLink="AA31" lockText="1" noThreeD="1"/>
</file>

<file path=xl/ctrlProps/ctrlProp190.xml><?xml version="1.0" encoding="utf-8"?>
<formControlPr xmlns="http://schemas.microsoft.com/office/spreadsheetml/2009/9/main" objectType="CheckBox" checked="Checked" fmlaLink="AA32" lockText="1" noThreeD="1"/>
</file>

<file path=xl/ctrlProps/ctrlProp191.xml><?xml version="1.0" encoding="utf-8"?>
<formControlPr xmlns="http://schemas.microsoft.com/office/spreadsheetml/2009/9/main" objectType="CheckBox" fmlaLink="AA34" lockText="1" noThreeD="1"/>
</file>

<file path=xl/ctrlProps/ctrlProp192.xml><?xml version="1.0" encoding="utf-8"?>
<formControlPr xmlns="http://schemas.microsoft.com/office/spreadsheetml/2009/9/main" objectType="CheckBox" fmlaLink="AA37" lockText="1" noThreeD="1"/>
</file>

<file path=xl/ctrlProps/ctrlProp193.xml><?xml version="1.0" encoding="utf-8"?>
<formControlPr xmlns="http://schemas.microsoft.com/office/spreadsheetml/2009/9/main" objectType="CheckBox" checked="Checked" fmlaLink="AA38" lockText="1" noThreeD="1"/>
</file>

<file path=xl/ctrlProps/ctrlProp194.xml><?xml version="1.0" encoding="utf-8"?>
<formControlPr xmlns="http://schemas.microsoft.com/office/spreadsheetml/2009/9/main" objectType="CheckBox" checked="Checked" fmlaLink="AA39" lockText="1" noThreeD="1"/>
</file>

<file path=xl/ctrlProps/ctrlProp195.xml><?xml version="1.0" encoding="utf-8"?>
<formControlPr xmlns="http://schemas.microsoft.com/office/spreadsheetml/2009/9/main" objectType="CheckBox" fmlaLink="AA41" lockText="1" noThreeD="1"/>
</file>

<file path=xl/ctrlProps/ctrlProp196.xml><?xml version="1.0" encoding="utf-8"?>
<formControlPr xmlns="http://schemas.microsoft.com/office/spreadsheetml/2009/9/main" objectType="CheckBox" fmlaLink="AA44" lockText="1" noThreeD="1"/>
</file>

<file path=xl/ctrlProps/ctrlProp197.xml><?xml version="1.0" encoding="utf-8"?>
<formControlPr xmlns="http://schemas.microsoft.com/office/spreadsheetml/2009/9/main" objectType="CheckBox" fmlaLink="AA45" lockText="1" noThreeD="1"/>
</file>

<file path=xl/ctrlProps/ctrlProp198.xml><?xml version="1.0" encoding="utf-8"?>
<formControlPr xmlns="http://schemas.microsoft.com/office/spreadsheetml/2009/9/main" objectType="CheckBox" checked="Checked" fmlaLink="AA46" lockText="1" noThreeD="1"/>
</file>

<file path=xl/ctrlProps/ctrlProp199.xml><?xml version="1.0" encoding="utf-8"?>
<formControlPr xmlns="http://schemas.microsoft.com/office/spreadsheetml/2009/9/main" objectType="CheckBox" fmlaLink="AA48" lockText="1" noThreeD="1"/>
</file>

<file path=xl/ctrlProps/ctrlProp200.xml><?xml version="1.0" encoding="utf-8"?>
<formControlPr xmlns="http://schemas.microsoft.com/office/spreadsheetml/2009/9/main" objectType="CheckBox" checked="Checked" fmlaLink="AA51" lockText="1" noThreeD="1"/>
</file>

<file path=xl/ctrlProps/ctrlProp201.xml><?xml version="1.0" encoding="utf-8"?>
<formControlPr xmlns="http://schemas.microsoft.com/office/spreadsheetml/2009/9/main" objectType="CheckBox" checked="Checked" fmlaLink="AA52" lockText="1" noThreeD="1"/>
</file>

<file path=xl/ctrlProps/ctrlProp202.xml><?xml version="1.0" encoding="utf-8"?>
<formControlPr xmlns="http://schemas.microsoft.com/office/spreadsheetml/2009/9/main" objectType="CheckBox" checked="Checked" fmlaLink="AA53" lockText="1" noThreeD="1"/>
</file>

<file path=xl/ctrlProps/ctrlProp203.xml><?xml version="1.0" encoding="utf-8"?>
<formControlPr xmlns="http://schemas.microsoft.com/office/spreadsheetml/2009/9/main" objectType="CheckBox" checked="Checked" fmlaLink="AA54" lockText="1" noThreeD="1"/>
</file>

<file path=xl/ctrlProps/ctrlProp204.xml><?xml version="1.0" encoding="utf-8"?>
<formControlPr xmlns="http://schemas.microsoft.com/office/spreadsheetml/2009/9/main" objectType="CheckBox" checked="Checked" fmlaLink="AA55" lockText="1" noThreeD="1"/>
</file>

<file path=xl/ctrlProps/ctrlProp205.xml><?xml version="1.0" encoding="utf-8"?>
<formControlPr xmlns="http://schemas.microsoft.com/office/spreadsheetml/2009/9/main" objectType="CheckBox" checked="Checked" fmlaLink="AA58" lockText="1" noThreeD="1"/>
</file>

<file path=xl/ctrlProps/ctrlProp206.xml><?xml version="1.0" encoding="utf-8"?>
<formControlPr xmlns="http://schemas.microsoft.com/office/spreadsheetml/2009/9/main" objectType="CheckBox" checked="Checked" fmlaLink="AA59" lockText="1" noThreeD="1"/>
</file>

<file path=xl/ctrlProps/ctrlProp207.xml><?xml version="1.0" encoding="utf-8"?>
<formControlPr xmlns="http://schemas.microsoft.com/office/spreadsheetml/2009/9/main" objectType="CheckBox" checked="Checked" fmlaLink="AA60" lockText="1" noThreeD="1"/>
</file>

<file path=xl/ctrlProps/ctrlProp208.xml><?xml version="1.0" encoding="utf-8"?>
<formControlPr xmlns="http://schemas.microsoft.com/office/spreadsheetml/2009/9/main" objectType="CheckBox" fmlaLink="AA62" lockText="1" noThreeD="1"/>
</file>

<file path=xl/ctrlProps/ctrlProp209.xml><?xml version="1.0" encoding="utf-8"?>
<formControlPr xmlns="http://schemas.microsoft.com/office/spreadsheetml/2009/9/main" objectType="CheckBox" checked="Checked" fmlaLink="AA65" lockText="1" noThreeD="1"/>
</file>

<file path=xl/ctrlProps/ctrlProp210.xml><?xml version="1.0" encoding="utf-8"?>
<formControlPr xmlns="http://schemas.microsoft.com/office/spreadsheetml/2009/9/main" objectType="CheckBox" checked="Checked" fmlaLink="AA66" lockText="1" noThreeD="1"/>
</file>

<file path=xl/ctrlProps/ctrlProp211.xml><?xml version="1.0" encoding="utf-8"?>
<formControlPr xmlns="http://schemas.microsoft.com/office/spreadsheetml/2009/9/main" objectType="CheckBox" checked="Checked" fmlaLink="AA67" lockText="1" noThreeD="1"/>
</file>

<file path=xl/ctrlProps/ctrlProp212.xml><?xml version="1.0" encoding="utf-8"?>
<formControlPr xmlns="http://schemas.microsoft.com/office/spreadsheetml/2009/9/main" objectType="CheckBox" checked="Checked" fmlaLink="AA68" lockText="1" noThreeD="1"/>
</file>

<file path=xl/ctrlProps/ctrlProp213.xml><?xml version="1.0" encoding="utf-8"?>
<formControlPr xmlns="http://schemas.microsoft.com/office/spreadsheetml/2009/9/main" objectType="CheckBox" checked="Checked" fmlaLink="AA69" lockText="1" noThreeD="1"/>
</file>

<file path=xl/ctrlProps/ctrlProp214.xml><?xml version="1.0" encoding="utf-8"?>
<formControlPr xmlns="http://schemas.microsoft.com/office/spreadsheetml/2009/9/main" objectType="CheckBox" checked="Checked" fmlaLink="AA72" lockText="1" noThreeD="1"/>
</file>

<file path=xl/ctrlProps/ctrlProp215.xml><?xml version="1.0" encoding="utf-8"?>
<formControlPr xmlns="http://schemas.microsoft.com/office/spreadsheetml/2009/9/main" objectType="CheckBox" checked="Checked" fmlaLink="AA73" lockText="1" noThreeD="1"/>
</file>

<file path=xl/ctrlProps/ctrlProp216.xml><?xml version="1.0" encoding="utf-8"?>
<formControlPr xmlns="http://schemas.microsoft.com/office/spreadsheetml/2009/9/main" objectType="CheckBox" checked="Checked" fmlaLink="AA74" lockText="1" noThreeD="1"/>
</file>

<file path=xl/ctrlProps/ctrlProp217.xml><?xml version="1.0" encoding="utf-8"?>
<formControlPr xmlns="http://schemas.microsoft.com/office/spreadsheetml/2009/9/main" objectType="CheckBox" fmlaLink="AA76" lockText="1" noThreeD="1"/>
</file>

<file path=xl/ctrlProps/ctrlProp218.xml><?xml version="1.0" encoding="utf-8"?>
<formControlPr xmlns="http://schemas.microsoft.com/office/spreadsheetml/2009/9/main" objectType="CheckBox" checked="Checked" fmlaLink="AB16" lockText="1" noThreeD="1"/>
</file>

<file path=xl/ctrlProps/ctrlProp219.xml><?xml version="1.0" encoding="utf-8"?>
<formControlPr xmlns="http://schemas.microsoft.com/office/spreadsheetml/2009/9/main" objectType="CheckBox" fmlaLink="AB17" lockText="1" noThreeD="1"/>
</file>

<file path=xl/ctrlProps/ctrlProp220.xml><?xml version="1.0" encoding="utf-8"?>
<formControlPr xmlns="http://schemas.microsoft.com/office/spreadsheetml/2009/9/main" objectType="CheckBox" fmlaLink="AB20" lockText="1" noThreeD="1"/>
</file>

<file path=xl/ctrlProps/ctrlProp221.xml><?xml version="1.0" encoding="utf-8"?>
<formControlPr xmlns="http://schemas.microsoft.com/office/spreadsheetml/2009/9/main" objectType="CheckBox" checked="Checked" fmlaLink="AB23" lockText="1" noThreeD="1"/>
</file>

<file path=xl/ctrlProps/ctrlProp222.xml><?xml version="1.0" encoding="utf-8"?>
<formControlPr xmlns="http://schemas.microsoft.com/office/spreadsheetml/2009/9/main" objectType="CheckBox" checked="Checked" fmlaLink="AB24" lockText="1" noThreeD="1"/>
</file>

<file path=xl/ctrlProps/ctrlProp223.xml><?xml version="1.0" encoding="utf-8"?>
<formControlPr xmlns="http://schemas.microsoft.com/office/spreadsheetml/2009/9/main" objectType="CheckBox" checked="Checked" fmlaLink="AB25" lockText="1" noThreeD="1"/>
</file>

<file path=xl/ctrlProps/ctrlProp224.xml><?xml version="1.0" encoding="utf-8"?>
<formControlPr xmlns="http://schemas.microsoft.com/office/spreadsheetml/2009/9/main" objectType="CheckBox" fmlaLink="AB27" lockText="1" noThreeD="1"/>
</file>

<file path=xl/ctrlProps/ctrlProp225.xml><?xml version="1.0" encoding="utf-8"?>
<formControlPr xmlns="http://schemas.microsoft.com/office/spreadsheetml/2009/9/main" objectType="CheckBox" fmlaLink="AB30" lockText="1" noThreeD="1"/>
</file>

<file path=xl/ctrlProps/ctrlProp226.xml><?xml version="1.0" encoding="utf-8"?>
<formControlPr xmlns="http://schemas.microsoft.com/office/spreadsheetml/2009/9/main" objectType="CheckBox" fmlaLink="AB31" lockText="1" noThreeD="1"/>
</file>

<file path=xl/ctrlProps/ctrlProp227.xml><?xml version="1.0" encoding="utf-8"?>
<formControlPr xmlns="http://schemas.microsoft.com/office/spreadsheetml/2009/9/main" objectType="CheckBox" fmlaLink="AB32" lockText="1" noThreeD="1"/>
</file>

<file path=xl/ctrlProps/ctrlProp228.xml><?xml version="1.0" encoding="utf-8"?>
<formControlPr xmlns="http://schemas.microsoft.com/office/spreadsheetml/2009/9/main" objectType="CheckBox" fmlaLink="AB34" lockText="1" noThreeD="1"/>
</file>

<file path=xl/ctrlProps/ctrlProp229.xml><?xml version="1.0" encoding="utf-8"?>
<formControlPr xmlns="http://schemas.microsoft.com/office/spreadsheetml/2009/9/main" objectType="CheckBox" checked="Checked" fmlaLink="AB37" lockText="1" noThreeD="1"/>
</file>

<file path=xl/ctrlProps/ctrlProp230.xml><?xml version="1.0" encoding="utf-8"?>
<formControlPr xmlns="http://schemas.microsoft.com/office/spreadsheetml/2009/9/main" objectType="CheckBox" fmlaLink="AB38" lockText="1" noThreeD="1"/>
</file>

<file path=xl/ctrlProps/ctrlProp231.xml><?xml version="1.0" encoding="utf-8"?>
<formControlPr xmlns="http://schemas.microsoft.com/office/spreadsheetml/2009/9/main" objectType="CheckBox" fmlaLink="AB39" lockText="1" noThreeD="1"/>
</file>

<file path=xl/ctrlProps/ctrlProp232.xml><?xml version="1.0" encoding="utf-8"?>
<formControlPr xmlns="http://schemas.microsoft.com/office/spreadsheetml/2009/9/main" objectType="CheckBox" fmlaLink="AB41" lockText="1" noThreeD="1"/>
</file>

<file path=xl/ctrlProps/ctrlProp233.xml><?xml version="1.0" encoding="utf-8"?>
<formControlPr xmlns="http://schemas.microsoft.com/office/spreadsheetml/2009/9/main" objectType="CheckBox" checked="Checked" fmlaLink="AB44" lockText="1" noThreeD="1"/>
</file>

<file path=xl/ctrlProps/ctrlProp234.xml><?xml version="1.0" encoding="utf-8"?>
<formControlPr xmlns="http://schemas.microsoft.com/office/spreadsheetml/2009/9/main" objectType="CheckBox" checked="Checked" fmlaLink="AB45" lockText="1" noThreeD="1"/>
</file>

<file path=xl/ctrlProps/ctrlProp235.xml><?xml version="1.0" encoding="utf-8"?>
<formControlPr xmlns="http://schemas.microsoft.com/office/spreadsheetml/2009/9/main" objectType="CheckBox" fmlaLink="AB46" lockText="1" noThreeD="1"/>
</file>

<file path=xl/ctrlProps/ctrlProp236.xml><?xml version="1.0" encoding="utf-8"?>
<formControlPr xmlns="http://schemas.microsoft.com/office/spreadsheetml/2009/9/main" objectType="CheckBox" fmlaLink="AB48" lockText="1" noThreeD="1"/>
</file>

<file path=xl/ctrlProps/ctrlProp237.xml><?xml version="1.0" encoding="utf-8"?>
<formControlPr xmlns="http://schemas.microsoft.com/office/spreadsheetml/2009/9/main" objectType="CheckBox" fmlaLink="AB51" lockText="1" noThreeD="1"/>
</file>

<file path=xl/ctrlProps/ctrlProp238.xml><?xml version="1.0" encoding="utf-8"?>
<formControlPr xmlns="http://schemas.microsoft.com/office/spreadsheetml/2009/9/main" objectType="CheckBox" fmlaLink="AB52" lockText="1" noThreeD="1"/>
</file>

<file path=xl/ctrlProps/ctrlProp239.xml><?xml version="1.0" encoding="utf-8"?>
<formControlPr xmlns="http://schemas.microsoft.com/office/spreadsheetml/2009/9/main" objectType="CheckBox" fmlaLink="AB53" lockText="1" noThreeD="1"/>
</file>

<file path=xl/ctrlProps/ctrlProp240.xml><?xml version="1.0" encoding="utf-8"?>
<formControlPr xmlns="http://schemas.microsoft.com/office/spreadsheetml/2009/9/main" objectType="CheckBox" fmlaLink="AB54" lockText="1" noThreeD="1"/>
</file>

<file path=xl/ctrlProps/ctrlProp241.xml><?xml version="1.0" encoding="utf-8"?>
<formControlPr xmlns="http://schemas.microsoft.com/office/spreadsheetml/2009/9/main" objectType="CheckBox" fmlaLink="AB55" lockText="1" noThreeD="1"/>
</file>

<file path=xl/ctrlProps/ctrlProp242.xml><?xml version="1.0" encoding="utf-8"?>
<formControlPr xmlns="http://schemas.microsoft.com/office/spreadsheetml/2009/9/main" objectType="CheckBox" fmlaLink="AB58" lockText="1" noThreeD="1"/>
</file>

<file path=xl/ctrlProps/ctrlProp243.xml><?xml version="1.0" encoding="utf-8"?>
<formControlPr xmlns="http://schemas.microsoft.com/office/spreadsheetml/2009/9/main" objectType="CheckBox" fmlaLink="AB59" lockText="1" noThreeD="1"/>
</file>

<file path=xl/ctrlProps/ctrlProp244.xml><?xml version="1.0" encoding="utf-8"?>
<formControlPr xmlns="http://schemas.microsoft.com/office/spreadsheetml/2009/9/main" objectType="CheckBox" fmlaLink="AB60" lockText="1" noThreeD="1"/>
</file>

<file path=xl/ctrlProps/ctrlProp245.xml><?xml version="1.0" encoding="utf-8"?>
<formControlPr xmlns="http://schemas.microsoft.com/office/spreadsheetml/2009/9/main" objectType="CheckBox" fmlaLink="AB62" lockText="1" noThreeD="1"/>
</file>

<file path=xl/ctrlProps/ctrlProp246.xml><?xml version="1.0" encoding="utf-8"?>
<formControlPr xmlns="http://schemas.microsoft.com/office/spreadsheetml/2009/9/main" objectType="CheckBox" fmlaLink="AB65" lockText="1" noThreeD="1"/>
</file>

<file path=xl/ctrlProps/ctrlProp247.xml><?xml version="1.0" encoding="utf-8"?>
<formControlPr xmlns="http://schemas.microsoft.com/office/spreadsheetml/2009/9/main" objectType="CheckBox" fmlaLink="AB66" lockText="1" noThreeD="1"/>
</file>

<file path=xl/ctrlProps/ctrlProp248.xml><?xml version="1.0" encoding="utf-8"?>
<formControlPr xmlns="http://schemas.microsoft.com/office/spreadsheetml/2009/9/main" objectType="CheckBox" fmlaLink="AB67" lockText="1" noThreeD="1"/>
</file>

<file path=xl/ctrlProps/ctrlProp249.xml><?xml version="1.0" encoding="utf-8"?>
<formControlPr xmlns="http://schemas.microsoft.com/office/spreadsheetml/2009/9/main" objectType="CheckBox" fmlaLink="AB68" lockText="1" noThreeD="1"/>
</file>

<file path=xl/ctrlProps/ctrlProp250.xml><?xml version="1.0" encoding="utf-8"?>
<formControlPr xmlns="http://schemas.microsoft.com/office/spreadsheetml/2009/9/main" objectType="CheckBox" fmlaLink="AB69" lockText="1" noThreeD="1"/>
</file>

<file path=xl/ctrlProps/ctrlProp251.xml><?xml version="1.0" encoding="utf-8"?>
<formControlPr xmlns="http://schemas.microsoft.com/office/spreadsheetml/2009/9/main" objectType="CheckBox" fmlaLink="AB72" lockText="1" noThreeD="1"/>
</file>

<file path=xl/ctrlProps/ctrlProp252.xml><?xml version="1.0" encoding="utf-8"?>
<formControlPr xmlns="http://schemas.microsoft.com/office/spreadsheetml/2009/9/main" objectType="CheckBox" fmlaLink="AB73" lockText="1" noThreeD="1"/>
</file>

<file path=xl/ctrlProps/ctrlProp253.xml><?xml version="1.0" encoding="utf-8"?>
<formControlPr xmlns="http://schemas.microsoft.com/office/spreadsheetml/2009/9/main" objectType="CheckBox" fmlaLink="AB74" lockText="1" noThreeD="1"/>
</file>

<file path=xl/ctrlProps/ctrlProp254.xml><?xml version="1.0" encoding="utf-8"?>
<formControlPr xmlns="http://schemas.microsoft.com/office/spreadsheetml/2009/9/main" objectType="CheckBox" fmlaLink="AB76" lockText="1" noThreeD="1"/>
</file>

<file path=xl/ctrlProps/ctrlProp255.xml><?xml version="1.0" encoding="utf-8"?>
<formControlPr xmlns="http://schemas.microsoft.com/office/spreadsheetml/2009/9/main" objectType="CheckBox" checked="Checked" fmlaLink="AA19" lockText="1" noThreeD="1"/>
</file>

<file path=xl/ctrlProps/ctrlProp256.xml><?xml version="1.0" encoding="utf-8"?>
<formControlPr xmlns="http://schemas.microsoft.com/office/spreadsheetml/2009/9/main" objectType="CheckBox" fmlaLink="AB19" lockText="1" noThreeD="1"/>
</file>

<file path=xl/ctrlProps/ctrlProp257.xml><?xml version="1.0" encoding="utf-8"?>
<formControlPr xmlns="http://schemas.microsoft.com/office/spreadsheetml/2009/9/main" objectType="CheckBox" checked="Checked" fmlaLink="AA18" lockText="1" noThreeD="1"/>
</file>

<file path=xl/ctrlProps/ctrlProp258.xml><?xml version="1.0" encoding="utf-8"?>
<formControlPr xmlns="http://schemas.microsoft.com/office/spreadsheetml/2009/9/main" objectType="CheckBox" fmlaLink="AB18" lockText="1" noThreeD="1"/>
</file>

<file path=xl/ctrlProps/ctrlProp259.xml><?xml version="1.0" encoding="utf-8"?>
<formControlPr xmlns="http://schemas.microsoft.com/office/spreadsheetml/2009/9/main" objectType="CheckBox" fmlaLink="AA26" lockText="1" noThreeD="1"/>
</file>

<file path=xl/ctrlProps/ctrlProp260.xml><?xml version="1.0" encoding="utf-8"?>
<formControlPr xmlns="http://schemas.microsoft.com/office/spreadsheetml/2009/9/main" objectType="CheckBox" checked="Checked" fmlaLink="AB26" lockText="1" noThreeD="1"/>
</file>

<file path=xl/ctrlProps/ctrlProp261.xml><?xml version="1.0" encoding="utf-8"?>
<formControlPr xmlns="http://schemas.microsoft.com/office/spreadsheetml/2009/9/main" objectType="CheckBox" checked="Checked" fmlaLink="AA33" lockText="1" noThreeD="1"/>
</file>

<file path=xl/ctrlProps/ctrlProp262.xml><?xml version="1.0" encoding="utf-8"?>
<formControlPr xmlns="http://schemas.microsoft.com/office/spreadsheetml/2009/9/main" objectType="CheckBox" fmlaLink="AB33" lockText="1" noThreeD="1"/>
</file>

<file path=xl/ctrlProps/ctrlProp263.xml><?xml version="1.0" encoding="utf-8"?>
<formControlPr xmlns="http://schemas.microsoft.com/office/spreadsheetml/2009/9/main" objectType="CheckBox" checked="Checked" fmlaLink="AA40" lockText="1" noThreeD="1"/>
</file>

<file path=xl/ctrlProps/ctrlProp264.xml><?xml version="1.0" encoding="utf-8"?>
<formControlPr xmlns="http://schemas.microsoft.com/office/spreadsheetml/2009/9/main" objectType="CheckBox" fmlaLink="AB40" lockText="1" noThreeD="1"/>
</file>

<file path=xl/ctrlProps/ctrlProp265.xml><?xml version="1.0" encoding="utf-8"?>
<formControlPr xmlns="http://schemas.microsoft.com/office/spreadsheetml/2009/9/main" objectType="CheckBox" fmlaLink="AA47" lockText="1" noThreeD="1"/>
</file>

<file path=xl/ctrlProps/ctrlProp266.xml><?xml version="1.0" encoding="utf-8"?>
<formControlPr xmlns="http://schemas.microsoft.com/office/spreadsheetml/2009/9/main" objectType="CheckBox" checked="Checked" fmlaLink="AB47" lockText="1" noThreeD="1"/>
</file>

<file path=xl/ctrlProps/ctrlProp267.xml><?xml version="1.0" encoding="utf-8"?>
<formControlPr xmlns="http://schemas.microsoft.com/office/spreadsheetml/2009/9/main" objectType="CheckBox" checked="Checked" fmlaLink="AA61" lockText="1" noThreeD="1"/>
</file>

<file path=xl/ctrlProps/ctrlProp268.xml><?xml version="1.0" encoding="utf-8"?>
<formControlPr xmlns="http://schemas.microsoft.com/office/spreadsheetml/2009/9/main" objectType="CheckBox" fmlaLink="AB61" lockText="1" noThreeD="1"/>
</file>

<file path=xl/ctrlProps/ctrlProp269.xml><?xml version="1.0" encoding="utf-8"?>
<formControlPr xmlns="http://schemas.microsoft.com/office/spreadsheetml/2009/9/main" objectType="CheckBox" checked="Checked" fmlaLink="AA75" lockText="1" noThreeD="1"/>
</file>

<file path=xl/ctrlProps/ctrlProp270.xml><?xml version="1.0" encoding="utf-8"?>
<formControlPr xmlns="http://schemas.microsoft.com/office/spreadsheetml/2009/9/main" objectType="CheckBox" fmlaLink="AB75" lockText="1" noThreeD="1"/>
</file>

<file path=xl/ctrlProps/ctrlProp271.xml><?xml version="1.0" encoding="utf-8"?>
<formControlPr xmlns="http://schemas.microsoft.com/office/spreadsheetml/2009/9/main" objectType="CheckBox" checked="Checked" fmlaLink="AA16" lockText="1" noThreeD="1"/>
</file>

<file path=xl/ctrlProps/ctrlProp272.xml><?xml version="1.0" encoding="utf-8"?>
<formControlPr xmlns="http://schemas.microsoft.com/office/spreadsheetml/2009/9/main" objectType="CheckBox" checked="Checked" fmlaLink="AA17" lockText="1" noThreeD="1"/>
</file>

<file path=xl/ctrlProps/ctrlProp273.xml><?xml version="1.0" encoding="utf-8"?>
<formControlPr xmlns="http://schemas.microsoft.com/office/spreadsheetml/2009/9/main" objectType="CheckBox" fmlaLink="AA20" lockText="1" noThreeD="1"/>
</file>

<file path=xl/ctrlProps/ctrlProp274.xml><?xml version="1.0" encoding="utf-8"?>
<formControlPr xmlns="http://schemas.microsoft.com/office/spreadsheetml/2009/9/main" objectType="CheckBox" fmlaLink="AA23" lockText="1" noThreeD="1"/>
</file>

<file path=xl/ctrlProps/ctrlProp275.xml><?xml version="1.0" encoding="utf-8"?>
<formControlPr xmlns="http://schemas.microsoft.com/office/spreadsheetml/2009/9/main" objectType="CheckBox" fmlaLink="AA24" lockText="1" noThreeD="1"/>
</file>

<file path=xl/ctrlProps/ctrlProp276.xml><?xml version="1.0" encoding="utf-8"?>
<formControlPr xmlns="http://schemas.microsoft.com/office/spreadsheetml/2009/9/main" objectType="CheckBox" fmlaLink="AA25" lockText="1" noThreeD="1"/>
</file>

<file path=xl/ctrlProps/ctrlProp277.xml><?xml version="1.0" encoding="utf-8"?>
<formControlPr xmlns="http://schemas.microsoft.com/office/spreadsheetml/2009/9/main" objectType="CheckBox" fmlaLink="AA27" lockText="1" noThreeD="1"/>
</file>

<file path=xl/ctrlProps/ctrlProp278.xml><?xml version="1.0" encoding="utf-8"?>
<formControlPr xmlns="http://schemas.microsoft.com/office/spreadsheetml/2009/9/main" objectType="CheckBox" checked="Checked" fmlaLink="AA30" lockText="1" noThreeD="1"/>
</file>

<file path=xl/ctrlProps/ctrlProp279.xml><?xml version="1.0" encoding="utf-8"?>
<formControlPr xmlns="http://schemas.microsoft.com/office/spreadsheetml/2009/9/main" objectType="CheckBox" checked="Checked" fmlaLink="AA31" lockText="1" noThreeD="1"/>
</file>

<file path=xl/ctrlProps/ctrlProp280.xml><?xml version="1.0" encoding="utf-8"?>
<formControlPr xmlns="http://schemas.microsoft.com/office/spreadsheetml/2009/9/main" objectType="CheckBox" fmlaLink="AA32" lockText="1" noThreeD="1"/>
</file>

<file path=xl/ctrlProps/ctrlProp281.xml><?xml version="1.0" encoding="utf-8"?>
<formControlPr xmlns="http://schemas.microsoft.com/office/spreadsheetml/2009/9/main" objectType="CheckBox" fmlaLink="AA34" lockText="1" noThreeD="1"/>
</file>

<file path=xl/ctrlProps/ctrlProp282.xml><?xml version="1.0" encoding="utf-8"?>
<formControlPr xmlns="http://schemas.microsoft.com/office/spreadsheetml/2009/9/main" objectType="CheckBox" checked="Checked" fmlaLink="AA37" lockText="1" noThreeD="1"/>
</file>

<file path=xl/ctrlProps/ctrlProp283.xml><?xml version="1.0" encoding="utf-8"?>
<formControlPr xmlns="http://schemas.microsoft.com/office/spreadsheetml/2009/9/main" objectType="CheckBox" checked="Checked" fmlaLink="AA38" lockText="1" noThreeD="1"/>
</file>

<file path=xl/ctrlProps/ctrlProp284.xml><?xml version="1.0" encoding="utf-8"?>
<formControlPr xmlns="http://schemas.microsoft.com/office/spreadsheetml/2009/9/main" objectType="CheckBox" checked="Checked" fmlaLink="AA39" lockText="1" noThreeD="1"/>
</file>

<file path=xl/ctrlProps/ctrlProp285.xml><?xml version="1.0" encoding="utf-8"?>
<formControlPr xmlns="http://schemas.microsoft.com/office/spreadsheetml/2009/9/main" objectType="CheckBox" fmlaLink="AA41" lockText="1" noThreeD="1"/>
</file>

<file path=xl/ctrlProps/ctrlProp286.xml><?xml version="1.0" encoding="utf-8"?>
<formControlPr xmlns="http://schemas.microsoft.com/office/spreadsheetml/2009/9/main" objectType="CheckBox" checked="Checked" fmlaLink="AA44" lockText="1" noThreeD="1"/>
</file>

<file path=xl/ctrlProps/ctrlProp287.xml><?xml version="1.0" encoding="utf-8"?>
<formControlPr xmlns="http://schemas.microsoft.com/office/spreadsheetml/2009/9/main" objectType="CheckBox" fmlaLink="AA45" lockText="1" noThreeD="1"/>
</file>

<file path=xl/ctrlProps/ctrlProp288.xml><?xml version="1.0" encoding="utf-8"?>
<formControlPr xmlns="http://schemas.microsoft.com/office/spreadsheetml/2009/9/main" objectType="CheckBox" fmlaLink="AA46" lockText="1" noThreeD="1"/>
</file>

<file path=xl/ctrlProps/ctrlProp289.xml><?xml version="1.0" encoding="utf-8"?>
<formControlPr xmlns="http://schemas.microsoft.com/office/spreadsheetml/2009/9/main" objectType="CheckBox" fmlaLink="AA48" lockText="1" noThreeD="1"/>
</file>

<file path=xl/ctrlProps/ctrlProp290.xml><?xml version="1.0" encoding="utf-8"?>
<formControlPr xmlns="http://schemas.microsoft.com/office/spreadsheetml/2009/9/main" objectType="CheckBox" fmlaLink="AA51" lockText="1" noThreeD="1"/>
</file>

<file path=xl/ctrlProps/ctrlProp291.xml><?xml version="1.0" encoding="utf-8"?>
<formControlPr xmlns="http://schemas.microsoft.com/office/spreadsheetml/2009/9/main" objectType="CheckBox" fmlaLink="AA52" lockText="1" noThreeD="1"/>
</file>

<file path=xl/ctrlProps/ctrlProp292.xml><?xml version="1.0" encoding="utf-8"?>
<formControlPr xmlns="http://schemas.microsoft.com/office/spreadsheetml/2009/9/main" objectType="CheckBox" checked="Checked" fmlaLink="AA53" lockText="1" noThreeD="1"/>
</file>

<file path=xl/ctrlProps/ctrlProp293.xml><?xml version="1.0" encoding="utf-8"?>
<formControlPr xmlns="http://schemas.microsoft.com/office/spreadsheetml/2009/9/main" objectType="CheckBox" checked="Checked" fmlaLink="AA54" lockText="1" noThreeD="1"/>
</file>

<file path=xl/ctrlProps/ctrlProp294.xml><?xml version="1.0" encoding="utf-8"?>
<formControlPr xmlns="http://schemas.microsoft.com/office/spreadsheetml/2009/9/main" objectType="CheckBox" fmlaLink="AA55" lockText="1" noThreeD="1"/>
</file>

<file path=xl/ctrlProps/ctrlProp295.xml><?xml version="1.0" encoding="utf-8"?>
<formControlPr xmlns="http://schemas.microsoft.com/office/spreadsheetml/2009/9/main" objectType="CheckBox" checked="Checked" fmlaLink="AA58" lockText="1" noThreeD="1"/>
</file>

<file path=xl/ctrlProps/ctrlProp296.xml><?xml version="1.0" encoding="utf-8"?>
<formControlPr xmlns="http://schemas.microsoft.com/office/spreadsheetml/2009/9/main" objectType="CheckBox" fmlaLink="AA59" lockText="1" noThreeD="1"/>
</file>

<file path=xl/ctrlProps/ctrlProp297.xml><?xml version="1.0" encoding="utf-8"?>
<formControlPr xmlns="http://schemas.microsoft.com/office/spreadsheetml/2009/9/main" objectType="CheckBox" checked="Checked" fmlaLink="AA60" lockText="1" noThreeD="1"/>
</file>

<file path=xl/ctrlProps/ctrlProp298.xml><?xml version="1.0" encoding="utf-8"?>
<formControlPr xmlns="http://schemas.microsoft.com/office/spreadsheetml/2009/9/main" objectType="CheckBox" fmlaLink="AA62" lockText="1" noThreeD="1"/>
</file>

<file path=xl/ctrlProps/ctrlProp299.xml><?xml version="1.0" encoding="utf-8"?>
<formControlPr xmlns="http://schemas.microsoft.com/office/spreadsheetml/2009/9/main" objectType="CheckBox" checked="Checked" fmlaLink="AA65" lockText="1" noThreeD="1"/>
</file>

<file path=xl/ctrlProps/ctrlProp300.xml><?xml version="1.0" encoding="utf-8"?>
<formControlPr xmlns="http://schemas.microsoft.com/office/spreadsheetml/2009/9/main" objectType="CheckBox" checked="Checked" fmlaLink="AA66" lockText="1" noThreeD="1"/>
</file>

<file path=xl/ctrlProps/ctrlProp301.xml><?xml version="1.0" encoding="utf-8"?>
<formControlPr xmlns="http://schemas.microsoft.com/office/spreadsheetml/2009/9/main" objectType="CheckBox" checked="Checked" fmlaLink="AA67" lockText="1" noThreeD="1"/>
</file>

<file path=xl/ctrlProps/ctrlProp302.xml><?xml version="1.0" encoding="utf-8"?>
<formControlPr xmlns="http://schemas.microsoft.com/office/spreadsheetml/2009/9/main" objectType="CheckBox" checked="Checked" fmlaLink="AA68" lockText="1" noThreeD="1"/>
</file>

<file path=xl/ctrlProps/ctrlProp303.xml><?xml version="1.0" encoding="utf-8"?>
<formControlPr xmlns="http://schemas.microsoft.com/office/spreadsheetml/2009/9/main" objectType="CheckBox" checked="Checked" fmlaLink="AA69" lockText="1" noThreeD="1"/>
</file>

<file path=xl/ctrlProps/ctrlProp304.xml><?xml version="1.0" encoding="utf-8"?>
<formControlPr xmlns="http://schemas.microsoft.com/office/spreadsheetml/2009/9/main" objectType="CheckBox" checked="Checked" fmlaLink="AA72" lockText="1" noThreeD="1"/>
</file>

<file path=xl/ctrlProps/ctrlProp305.xml><?xml version="1.0" encoding="utf-8"?>
<formControlPr xmlns="http://schemas.microsoft.com/office/spreadsheetml/2009/9/main" objectType="CheckBox" checked="Checked" fmlaLink="AA73" lockText="1" noThreeD="1"/>
</file>

<file path=xl/ctrlProps/ctrlProp306.xml><?xml version="1.0" encoding="utf-8"?>
<formControlPr xmlns="http://schemas.microsoft.com/office/spreadsheetml/2009/9/main" objectType="CheckBox" fmlaLink="AA74" lockText="1" noThreeD="1"/>
</file>

<file path=xl/ctrlProps/ctrlProp307.xml><?xml version="1.0" encoding="utf-8"?>
<formControlPr xmlns="http://schemas.microsoft.com/office/spreadsheetml/2009/9/main" objectType="CheckBox" fmlaLink="AA76" lockText="1" noThreeD="1"/>
</file>

<file path=xl/ctrlProps/ctrlProp308.xml><?xml version="1.0" encoding="utf-8"?>
<formControlPr xmlns="http://schemas.microsoft.com/office/spreadsheetml/2009/9/main" objectType="CheckBox" fmlaLink="AB16" lockText="1" noThreeD="1"/>
</file>

<file path=xl/ctrlProps/ctrlProp309.xml><?xml version="1.0" encoding="utf-8"?>
<formControlPr xmlns="http://schemas.microsoft.com/office/spreadsheetml/2009/9/main" objectType="CheckBox" fmlaLink="AB17" lockText="1" noThreeD="1"/>
</file>

<file path=xl/ctrlProps/ctrlProp310.xml><?xml version="1.0" encoding="utf-8"?>
<formControlPr xmlns="http://schemas.microsoft.com/office/spreadsheetml/2009/9/main" objectType="CheckBox" fmlaLink="AB20" lockText="1" noThreeD="1"/>
</file>

<file path=xl/ctrlProps/ctrlProp311.xml><?xml version="1.0" encoding="utf-8"?>
<formControlPr xmlns="http://schemas.microsoft.com/office/spreadsheetml/2009/9/main" objectType="CheckBox" checked="Checked" fmlaLink="AB23" lockText="1" noThreeD="1"/>
</file>

<file path=xl/ctrlProps/ctrlProp312.xml><?xml version="1.0" encoding="utf-8"?>
<formControlPr xmlns="http://schemas.microsoft.com/office/spreadsheetml/2009/9/main" objectType="CheckBox" checked="Checked" fmlaLink="AB24" lockText="1" noThreeD="1"/>
</file>

<file path=xl/ctrlProps/ctrlProp313.xml><?xml version="1.0" encoding="utf-8"?>
<formControlPr xmlns="http://schemas.microsoft.com/office/spreadsheetml/2009/9/main" objectType="CheckBox" checked="Checked" fmlaLink="AB25" lockText="1" noThreeD="1"/>
</file>

<file path=xl/ctrlProps/ctrlProp314.xml><?xml version="1.0" encoding="utf-8"?>
<formControlPr xmlns="http://schemas.microsoft.com/office/spreadsheetml/2009/9/main" objectType="CheckBox" fmlaLink="AB27" lockText="1" noThreeD="1"/>
</file>

<file path=xl/ctrlProps/ctrlProp315.xml><?xml version="1.0" encoding="utf-8"?>
<formControlPr xmlns="http://schemas.microsoft.com/office/spreadsheetml/2009/9/main" objectType="CheckBox" fmlaLink="AB30" lockText="1" noThreeD="1"/>
</file>

<file path=xl/ctrlProps/ctrlProp316.xml><?xml version="1.0" encoding="utf-8"?>
<formControlPr xmlns="http://schemas.microsoft.com/office/spreadsheetml/2009/9/main" objectType="CheckBox" fmlaLink="AB31" lockText="1" noThreeD="1"/>
</file>

<file path=xl/ctrlProps/ctrlProp317.xml><?xml version="1.0" encoding="utf-8"?>
<formControlPr xmlns="http://schemas.microsoft.com/office/spreadsheetml/2009/9/main" objectType="CheckBox" checked="Checked" fmlaLink="AB32" lockText="1" noThreeD="1"/>
</file>

<file path=xl/ctrlProps/ctrlProp318.xml><?xml version="1.0" encoding="utf-8"?>
<formControlPr xmlns="http://schemas.microsoft.com/office/spreadsheetml/2009/9/main" objectType="CheckBox" fmlaLink="AB34" lockText="1" noThreeD="1"/>
</file>

<file path=xl/ctrlProps/ctrlProp319.xml><?xml version="1.0" encoding="utf-8"?>
<formControlPr xmlns="http://schemas.microsoft.com/office/spreadsheetml/2009/9/main" objectType="CheckBox" fmlaLink="AB37" lockText="1" noThreeD="1"/>
</file>

<file path=xl/ctrlProps/ctrlProp320.xml><?xml version="1.0" encoding="utf-8"?>
<formControlPr xmlns="http://schemas.microsoft.com/office/spreadsheetml/2009/9/main" objectType="CheckBox" fmlaLink="AB38" lockText="1" noThreeD="1"/>
</file>

<file path=xl/ctrlProps/ctrlProp321.xml><?xml version="1.0" encoding="utf-8"?>
<formControlPr xmlns="http://schemas.microsoft.com/office/spreadsheetml/2009/9/main" objectType="CheckBox" fmlaLink="AB39" lockText="1" noThreeD="1"/>
</file>

<file path=xl/ctrlProps/ctrlProp322.xml><?xml version="1.0" encoding="utf-8"?>
<formControlPr xmlns="http://schemas.microsoft.com/office/spreadsheetml/2009/9/main" objectType="CheckBox" fmlaLink="AB41" lockText="1" noThreeD="1"/>
</file>

<file path=xl/ctrlProps/ctrlProp323.xml><?xml version="1.0" encoding="utf-8"?>
<formControlPr xmlns="http://schemas.microsoft.com/office/spreadsheetml/2009/9/main" objectType="CheckBox" fmlaLink="AB44" lockText="1" noThreeD="1"/>
</file>

<file path=xl/ctrlProps/ctrlProp324.xml><?xml version="1.0" encoding="utf-8"?>
<formControlPr xmlns="http://schemas.microsoft.com/office/spreadsheetml/2009/9/main" objectType="CheckBox" checked="Checked" fmlaLink="AB45" lockText="1" noThreeD="1"/>
</file>

<file path=xl/ctrlProps/ctrlProp325.xml><?xml version="1.0" encoding="utf-8"?>
<formControlPr xmlns="http://schemas.microsoft.com/office/spreadsheetml/2009/9/main" objectType="CheckBox" checked="Checked" fmlaLink="AB46" lockText="1" noThreeD="1"/>
</file>

<file path=xl/ctrlProps/ctrlProp326.xml><?xml version="1.0" encoding="utf-8"?>
<formControlPr xmlns="http://schemas.microsoft.com/office/spreadsheetml/2009/9/main" objectType="CheckBox" fmlaLink="AB48" lockText="1" noThreeD="1"/>
</file>

<file path=xl/ctrlProps/ctrlProp327.xml><?xml version="1.0" encoding="utf-8"?>
<formControlPr xmlns="http://schemas.microsoft.com/office/spreadsheetml/2009/9/main" objectType="CheckBox" checked="Checked" fmlaLink="AB51" lockText="1" noThreeD="1"/>
</file>

<file path=xl/ctrlProps/ctrlProp328.xml><?xml version="1.0" encoding="utf-8"?>
<formControlPr xmlns="http://schemas.microsoft.com/office/spreadsheetml/2009/9/main" objectType="CheckBox" checked="Checked" fmlaLink="AB52" lockText="1" noThreeD="1"/>
</file>

<file path=xl/ctrlProps/ctrlProp329.xml><?xml version="1.0" encoding="utf-8"?>
<formControlPr xmlns="http://schemas.microsoft.com/office/spreadsheetml/2009/9/main" objectType="CheckBox" fmlaLink="AB53" lockText="1" noThreeD="1"/>
</file>

<file path=xl/ctrlProps/ctrlProp330.xml><?xml version="1.0" encoding="utf-8"?>
<formControlPr xmlns="http://schemas.microsoft.com/office/spreadsheetml/2009/9/main" objectType="CheckBox" fmlaLink="AB54" lockText="1" noThreeD="1"/>
</file>

<file path=xl/ctrlProps/ctrlProp331.xml><?xml version="1.0" encoding="utf-8"?>
<formControlPr xmlns="http://schemas.microsoft.com/office/spreadsheetml/2009/9/main" objectType="CheckBox" checked="Checked" fmlaLink="AB55" lockText="1" noThreeD="1"/>
</file>

<file path=xl/ctrlProps/ctrlProp332.xml><?xml version="1.0" encoding="utf-8"?>
<formControlPr xmlns="http://schemas.microsoft.com/office/spreadsheetml/2009/9/main" objectType="CheckBox" fmlaLink="AB58" lockText="1" noThreeD="1"/>
</file>

<file path=xl/ctrlProps/ctrlProp333.xml><?xml version="1.0" encoding="utf-8"?>
<formControlPr xmlns="http://schemas.microsoft.com/office/spreadsheetml/2009/9/main" objectType="CheckBox" checked="Checked" fmlaLink="AB59" lockText="1" noThreeD="1"/>
</file>

<file path=xl/ctrlProps/ctrlProp334.xml><?xml version="1.0" encoding="utf-8"?>
<formControlPr xmlns="http://schemas.microsoft.com/office/spreadsheetml/2009/9/main" objectType="CheckBox" fmlaLink="AB60" lockText="1" noThreeD="1"/>
</file>

<file path=xl/ctrlProps/ctrlProp335.xml><?xml version="1.0" encoding="utf-8"?>
<formControlPr xmlns="http://schemas.microsoft.com/office/spreadsheetml/2009/9/main" objectType="CheckBox" fmlaLink="AB62" lockText="1" noThreeD="1"/>
</file>

<file path=xl/ctrlProps/ctrlProp336.xml><?xml version="1.0" encoding="utf-8"?>
<formControlPr xmlns="http://schemas.microsoft.com/office/spreadsheetml/2009/9/main" objectType="CheckBox" fmlaLink="AB65" lockText="1" noThreeD="1"/>
</file>

<file path=xl/ctrlProps/ctrlProp337.xml><?xml version="1.0" encoding="utf-8"?>
<formControlPr xmlns="http://schemas.microsoft.com/office/spreadsheetml/2009/9/main" objectType="CheckBox" fmlaLink="AB66" lockText="1" noThreeD="1"/>
</file>

<file path=xl/ctrlProps/ctrlProp338.xml><?xml version="1.0" encoding="utf-8"?>
<formControlPr xmlns="http://schemas.microsoft.com/office/spreadsheetml/2009/9/main" objectType="CheckBox" fmlaLink="AB67" lockText="1" noThreeD="1"/>
</file>

<file path=xl/ctrlProps/ctrlProp339.xml><?xml version="1.0" encoding="utf-8"?>
<formControlPr xmlns="http://schemas.microsoft.com/office/spreadsheetml/2009/9/main" objectType="CheckBox" fmlaLink="AB68" lockText="1" noThreeD="1"/>
</file>

<file path=xl/ctrlProps/ctrlProp340.xml><?xml version="1.0" encoding="utf-8"?>
<formControlPr xmlns="http://schemas.microsoft.com/office/spreadsheetml/2009/9/main" objectType="CheckBox" fmlaLink="AB69" lockText="1" noThreeD="1"/>
</file>

<file path=xl/ctrlProps/ctrlProp341.xml><?xml version="1.0" encoding="utf-8"?>
<formControlPr xmlns="http://schemas.microsoft.com/office/spreadsheetml/2009/9/main" objectType="CheckBox" fmlaLink="AB72" lockText="1" noThreeD="1"/>
</file>

<file path=xl/ctrlProps/ctrlProp342.xml><?xml version="1.0" encoding="utf-8"?>
<formControlPr xmlns="http://schemas.microsoft.com/office/spreadsheetml/2009/9/main" objectType="CheckBox" fmlaLink="AB73" lockText="1" noThreeD="1"/>
</file>

<file path=xl/ctrlProps/ctrlProp343.xml><?xml version="1.0" encoding="utf-8"?>
<formControlPr xmlns="http://schemas.microsoft.com/office/spreadsheetml/2009/9/main" objectType="CheckBox" checked="Checked" fmlaLink="AB74" lockText="1" noThreeD="1"/>
</file>

<file path=xl/ctrlProps/ctrlProp344.xml><?xml version="1.0" encoding="utf-8"?>
<formControlPr xmlns="http://schemas.microsoft.com/office/spreadsheetml/2009/9/main" objectType="CheckBox" fmlaLink="AB76" lockText="1" noThreeD="1"/>
</file>

<file path=xl/ctrlProps/ctrlProp345.xml><?xml version="1.0" encoding="utf-8"?>
<formControlPr xmlns="http://schemas.microsoft.com/office/spreadsheetml/2009/9/main" objectType="CheckBox" checked="Checked" fmlaLink="AA19" lockText="1" noThreeD="1"/>
</file>

<file path=xl/ctrlProps/ctrlProp346.xml><?xml version="1.0" encoding="utf-8"?>
<formControlPr xmlns="http://schemas.microsoft.com/office/spreadsheetml/2009/9/main" objectType="CheckBox" fmlaLink="AB19" lockText="1" noThreeD="1"/>
</file>

<file path=xl/ctrlProps/ctrlProp347.xml><?xml version="1.0" encoding="utf-8"?>
<formControlPr xmlns="http://schemas.microsoft.com/office/spreadsheetml/2009/9/main" objectType="CheckBox" checked="Checked" fmlaLink="AA18" lockText="1" noThreeD="1"/>
</file>

<file path=xl/ctrlProps/ctrlProp348.xml><?xml version="1.0" encoding="utf-8"?>
<formControlPr xmlns="http://schemas.microsoft.com/office/spreadsheetml/2009/9/main" objectType="CheckBox" fmlaLink="AB18" lockText="1" noThreeD="1"/>
</file>

<file path=xl/ctrlProps/ctrlProp349.xml><?xml version="1.0" encoding="utf-8"?>
<formControlPr xmlns="http://schemas.microsoft.com/office/spreadsheetml/2009/9/main" objectType="CheckBox" fmlaLink="AA26" lockText="1" noThreeD="1"/>
</file>

<file path=xl/ctrlProps/ctrlProp350.xml><?xml version="1.0" encoding="utf-8"?>
<formControlPr xmlns="http://schemas.microsoft.com/office/spreadsheetml/2009/9/main" objectType="CheckBox" checked="Checked" fmlaLink="AB26" lockText="1" noThreeD="1"/>
</file>

<file path=xl/ctrlProps/ctrlProp351.xml><?xml version="1.0" encoding="utf-8"?>
<formControlPr xmlns="http://schemas.microsoft.com/office/spreadsheetml/2009/9/main" objectType="CheckBox" fmlaLink="AA33" lockText="1" noThreeD="1"/>
</file>

<file path=xl/ctrlProps/ctrlProp352.xml><?xml version="1.0" encoding="utf-8"?>
<formControlPr xmlns="http://schemas.microsoft.com/office/spreadsheetml/2009/9/main" objectType="CheckBox" checked="Checked" fmlaLink="AB33" lockText="1" noThreeD="1"/>
</file>

<file path=xl/ctrlProps/ctrlProp353.xml><?xml version="1.0" encoding="utf-8"?>
<formControlPr xmlns="http://schemas.microsoft.com/office/spreadsheetml/2009/9/main" objectType="CheckBox" checked="Checked" fmlaLink="AA40" lockText="1" noThreeD="1"/>
</file>

<file path=xl/ctrlProps/ctrlProp354.xml><?xml version="1.0" encoding="utf-8"?>
<formControlPr xmlns="http://schemas.microsoft.com/office/spreadsheetml/2009/9/main" objectType="CheckBox" fmlaLink="AB40" lockText="1" noThreeD="1"/>
</file>

<file path=xl/ctrlProps/ctrlProp355.xml><?xml version="1.0" encoding="utf-8"?>
<formControlPr xmlns="http://schemas.microsoft.com/office/spreadsheetml/2009/9/main" objectType="CheckBox" checked="Checked" fmlaLink="AA47" lockText="1" noThreeD="1"/>
</file>

<file path=xl/ctrlProps/ctrlProp356.xml><?xml version="1.0" encoding="utf-8"?>
<formControlPr xmlns="http://schemas.microsoft.com/office/spreadsheetml/2009/9/main" objectType="CheckBox" fmlaLink="AB47" lockText="1" noThreeD="1"/>
</file>

<file path=xl/ctrlProps/ctrlProp357.xml><?xml version="1.0" encoding="utf-8"?>
<formControlPr xmlns="http://schemas.microsoft.com/office/spreadsheetml/2009/9/main" objectType="CheckBox" fmlaLink="AA61" lockText="1" noThreeD="1"/>
</file>

<file path=xl/ctrlProps/ctrlProp358.xml><?xml version="1.0" encoding="utf-8"?>
<formControlPr xmlns="http://schemas.microsoft.com/office/spreadsheetml/2009/9/main" objectType="CheckBox" checked="Checked" fmlaLink="AB61" lockText="1" noThreeD="1"/>
</file>

<file path=xl/ctrlProps/ctrlProp359.xml><?xml version="1.0" encoding="utf-8"?>
<formControlPr xmlns="http://schemas.microsoft.com/office/spreadsheetml/2009/9/main" objectType="CheckBox" fmlaLink="AA75" lockText="1" noThreeD="1"/>
</file>

<file path=xl/ctrlProps/ctrlProp360.xml><?xml version="1.0" encoding="utf-8"?>
<formControlPr xmlns="http://schemas.microsoft.com/office/spreadsheetml/2009/9/main" objectType="CheckBox" checked="Checked" fmlaLink="AB75" lockText="1" noThreeD="1"/>
</file>

<file path=xl/ctrlProps/ctrlProp361.xml><?xml version="1.0" encoding="utf-8"?>
<formControlPr xmlns="http://schemas.microsoft.com/office/spreadsheetml/2009/9/main" objectType="CheckBox" fmlaLink="AA16" lockText="1" noThreeD="1"/>
</file>

<file path=xl/ctrlProps/ctrlProp362.xml><?xml version="1.0" encoding="utf-8"?>
<formControlPr xmlns="http://schemas.microsoft.com/office/spreadsheetml/2009/9/main" objectType="CheckBox" fmlaLink="AA17" lockText="1" noThreeD="1"/>
</file>

<file path=xl/ctrlProps/ctrlProp363.xml><?xml version="1.0" encoding="utf-8"?>
<formControlPr xmlns="http://schemas.microsoft.com/office/spreadsheetml/2009/9/main" objectType="CheckBox" fmlaLink="AA20" lockText="1" noThreeD="1"/>
</file>

<file path=xl/ctrlProps/ctrlProp364.xml><?xml version="1.0" encoding="utf-8"?>
<formControlPr xmlns="http://schemas.microsoft.com/office/spreadsheetml/2009/9/main" objectType="CheckBox" fmlaLink="AA23" lockText="1" noThreeD="1"/>
</file>

<file path=xl/ctrlProps/ctrlProp365.xml><?xml version="1.0" encoding="utf-8"?>
<formControlPr xmlns="http://schemas.microsoft.com/office/spreadsheetml/2009/9/main" objectType="CheckBox" fmlaLink="AA24" lockText="1" noThreeD="1"/>
</file>

<file path=xl/ctrlProps/ctrlProp366.xml><?xml version="1.0" encoding="utf-8"?>
<formControlPr xmlns="http://schemas.microsoft.com/office/spreadsheetml/2009/9/main" objectType="CheckBox" fmlaLink="AA25" lockText="1" noThreeD="1"/>
</file>

<file path=xl/ctrlProps/ctrlProp367.xml><?xml version="1.0" encoding="utf-8"?>
<formControlPr xmlns="http://schemas.microsoft.com/office/spreadsheetml/2009/9/main" objectType="CheckBox" fmlaLink="AA27" lockText="1" noThreeD="1"/>
</file>

<file path=xl/ctrlProps/ctrlProp368.xml><?xml version="1.0" encoding="utf-8"?>
<formControlPr xmlns="http://schemas.microsoft.com/office/spreadsheetml/2009/9/main" objectType="CheckBox" fmlaLink="AA30" lockText="1" noThreeD="1"/>
</file>

<file path=xl/ctrlProps/ctrlProp369.xml><?xml version="1.0" encoding="utf-8"?>
<formControlPr xmlns="http://schemas.microsoft.com/office/spreadsheetml/2009/9/main" objectType="CheckBox" fmlaLink="AA31" lockText="1" noThreeD="1"/>
</file>

<file path=xl/ctrlProps/ctrlProp370.xml><?xml version="1.0" encoding="utf-8"?>
<formControlPr xmlns="http://schemas.microsoft.com/office/spreadsheetml/2009/9/main" objectType="CheckBox" fmlaLink="AA32" lockText="1" noThreeD="1"/>
</file>

<file path=xl/ctrlProps/ctrlProp371.xml><?xml version="1.0" encoding="utf-8"?>
<formControlPr xmlns="http://schemas.microsoft.com/office/spreadsheetml/2009/9/main" objectType="CheckBox" fmlaLink="AA34" lockText="1" noThreeD="1"/>
</file>

<file path=xl/ctrlProps/ctrlProp372.xml><?xml version="1.0" encoding="utf-8"?>
<formControlPr xmlns="http://schemas.microsoft.com/office/spreadsheetml/2009/9/main" objectType="CheckBox" fmlaLink="AA37" lockText="1" noThreeD="1"/>
</file>

<file path=xl/ctrlProps/ctrlProp373.xml><?xml version="1.0" encoding="utf-8"?>
<formControlPr xmlns="http://schemas.microsoft.com/office/spreadsheetml/2009/9/main" objectType="CheckBox" fmlaLink="AA38" lockText="1" noThreeD="1"/>
</file>

<file path=xl/ctrlProps/ctrlProp374.xml><?xml version="1.0" encoding="utf-8"?>
<formControlPr xmlns="http://schemas.microsoft.com/office/spreadsheetml/2009/9/main" objectType="CheckBox" fmlaLink="AA39" lockText="1" noThreeD="1"/>
</file>

<file path=xl/ctrlProps/ctrlProp375.xml><?xml version="1.0" encoding="utf-8"?>
<formControlPr xmlns="http://schemas.microsoft.com/office/spreadsheetml/2009/9/main" objectType="CheckBox" fmlaLink="AA41" lockText="1" noThreeD="1"/>
</file>

<file path=xl/ctrlProps/ctrlProp376.xml><?xml version="1.0" encoding="utf-8"?>
<formControlPr xmlns="http://schemas.microsoft.com/office/spreadsheetml/2009/9/main" objectType="CheckBox" fmlaLink="AA44" lockText="1" noThreeD="1"/>
</file>

<file path=xl/ctrlProps/ctrlProp377.xml><?xml version="1.0" encoding="utf-8"?>
<formControlPr xmlns="http://schemas.microsoft.com/office/spreadsheetml/2009/9/main" objectType="CheckBox" fmlaLink="AA45" lockText="1" noThreeD="1"/>
</file>

<file path=xl/ctrlProps/ctrlProp378.xml><?xml version="1.0" encoding="utf-8"?>
<formControlPr xmlns="http://schemas.microsoft.com/office/spreadsheetml/2009/9/main" objectType="CheckBox" fmlaLink="AA46" lockText="1" noThreeD="1"/>
</file>

<file path=xl/ctrlProps/ctrlProp379.xml><?xml version="1.0" encoding="utf-8"?>
<formControlPr xmlns="http://schemas.microsoft.com/office/spreadsheetml/2009/9/main" objectType="CheckBox" fmlaLink="AA48" lockText="1" noThreeD="1"/>
</file>

<file path=xl/ctrlProps/ctrlProp380.xml><?xml version="1.0" encoding="utf-8"?>
<formControlPr xmlns="http://schemas.microsoft.com/office/spreadsheetml/2009/9/main" objectType="CheckBox" fmlaLink="AA51" lockText="1" noThreeD="1"/>
</file>

<file path=xl/ctrlProps/ctrlProp381.xml><?xml version="1.0" encoding="utf-8"?>
<formControlPr xmlns="http://schemas.microsoft.com/office/spreadsheetml/2009/9/main" objectType="CheckBox" fmlaLink="AA52" lockText="1" noThreeD="1"/>
</file>

<file path=xl/ctrlProps/ctrlProp382.xml><?xml version="1.0" encoding="utf-8"?>
<formControlPr xmlns="http://schemas.microsoft.com/office/spreadsheetml/2009/9/main" objectType="CheckBox" fmlaLink="AA53" lockText="1" noThreeD="1"/>
</file>

<file path=xl/ctrlProps/ctrlProp383.xml><?xml version="1.0" encoding="utf-8"?>
<formControlPr xmlns="http://schemas.microsoft.com/office/spreadsheetml/2009/9/main" objectType="CheckBox" fmlaLink="AA54" lockText="1" noThreeD="1"/>
</file>

<file path=xl/ctrlProps/ctrlProp384.xml><?xml version="1.0" encoding="utf-8"?>
<formControlPr xmlns="http://schemas.microsoft.com/office/spreadsheetml/2009/9/main" objectType="CheckBox" fmlaLink="AA55" lockText="1" noThreeD="1"/>
</file>

<file path=xl/ctrlProps/ctrlProp385.xml><?xml version="1.0" encoding="utf-8"?>
<formControlPr xmlns="http://schemas.microsoft.com/office/spreadsheetml/2009/9/main" objectType="CheckBox" fmlaLink="AA58" lockText="1" noThreeD="1"/>
</file>

<file path=xl/ctrlProps/ctrlProp386.xml><?xml version="1.0" encoding="utf-8"?>
<formControlPr xmlns="http://schemas.microsoft.com/office/spreadsheetml/2009/9/main" objectType="CheckBox" fmlaLink="AA59" lockText="1" noThreeD="1"/>
</file>

<file path=xl/ctrlProps/ctrlProp387.xml><?xml version="1.0" encoding="utf-8"?>
<formControlPr xmlns="http://schemas.microsoft.com/office/spreadsheetml/2009/9/main" objectType="CheckBox" fmlaLink="AA60" lockText="1" noThreeD="1"/>
</file>

<file path=xl/ctrlProps/ctrlProp388.xml><?xml version="1.0" encoding="utf-8"?>
<formControlPr xmlns="http://schemas.microsoft.com/office/spreadsheetml/2009/9/main" objectType="CheckBox" fmlaLink="AA62" lockText="1" noThreeD="1"/>
</file>

<file path=xl/ctrlProps/ctrlProp389.xml><?xml version="1.0" encoding="utf-8"?>
<formControlPr xmlns="http://schemas.microsoft.com/office/spreadsheetml/2009/9/main" objectType="CheckBox" fmlaLink="AA65" lockText="1" noThreeD="1"/>
</file>

<file path=xl/ctrlProps/ctrlProp390.xml><?xml version="1.0" encoding="utf-8"?>
<formControlPr xmlns="http://schemas.microsoft.com/office/spreadsheetml/2009/9/main" objectType="CheckBox" fmlaLink="AA66" lockText="1" noThreeD="1"/>
</file>

<file path=xl/ctrlProps/ctrlProp391.xml><?xml version="1.0" encoding="utf-8"?>
<formControlPr xmlns="http://schemas.microsoft.com/office/spreadsheetml/2009/9/main" objectType="CheckBox" fmlaLink="AA67" lockText="1" noThreeD="1"/>
</file>

<file path=xl/ctrlProps/ctrlProp392.xml><?xml version="1.0" encoding="utf-8"?>
<formControlPr xmlns="http://schemas.microsoft.com/office/spreadsheetml/2009/9/main" objectType="CheckBox" fmlaLink="AA68" lockText="1" noThreeD="1"/>
</file>

<file path=xl/ctrlProps/ctrlProp393.xml><?xml version="1.0" encoding="utf-8"?>
<formControlPr xmlns="http://schemas.microsoft.com/office/spreadsheetml/2009/9/main" objectType="CheckBox" fmlaLink="AA69" lockText="1" noThreeD="1"/>
</file>

<file path=xl/ctrlProps/ctrlProp394.xml><?xml version="1.0" encoding="utf-8"?>
<formControlPr xmlns="http://schemas.microsoft.com/office/spreadsheetml/2009/9/main" objectType="CheckBox" fmlaLink="AA72" lockText="1" noThreeD="1"/>
</file>

<file path=xl/ctrlProps/ctrlProp395.xml><?xml version="1.0" encoding="utf-8"?>
<formControlPr xmlns="http://schemas.microsoft.com/office/spreadsheetml/2009/9/main" objectType="CheckBox" fmlaLink="AA73" lockText="1" noThreeD="1"/>
</file>

<file path=xl/ctrlProps/ctrlProp396.xml><?xml version="1.0" encoding="utf-8"?>
<formControlPr xmlns="http://schemas.microsoft.com/office/spreadsheetml/2009/9/main" objectType="CheckBox" fmlaLink="AA74" lockText="1" noThreeD="1"/>
</file>

<file path=xl/ctrlProps/ctrlProp397.xml><?xml version="1.0" encoding="utf-8"?>
<formControlPr xmlns="http://schemas.microsoft.com/office/spreadsheetml/2009/9/main" objectType="CheckBox" fmlaLink="AA76" lockText="1" noThreeD="1"/>
</file>

<file path=xl/ctrlProps/ctrlProp398.xml><?xml version="1.0" encoding="utf-8"?>
<formControlPr xmlns="http://schemas.microsoft.com/office/spreadsheetml/2009/9/main" objectType="CheckBox" fmlaLink="AB16" lockText="1" noThreeD="1"/>
</file>

<file path=xl/ctrlProps/ctrlProp399.xml><?xml version="1.0" encoding="utf-8"?>
<formControlPr xmlns="http://schemas.microsoft.com/office/spreadsheetml/2009/9/main" objectType="CheckBox" fmlaLink="AB17" lockText="1" noThreeD="1"/>
</file>

<file path=xl/ctrlProps/ctrlProp400.xml><?xml version="1.0" encoding="utf-8"?>
<formControlPr xmlns="http://schemas.microsoft.com/office/spreadsheetml/2009/9/main" objectType="CheckBox" fmlaLink="AB20" lockText="1" noThreeD="1"/>
</file>

<file path=xl/ctrlProps/ctrlProp401.xml><?xml version="1.0" encoding="utf-8"?>
<formControlPr xmlns="http://schemas.microsoft.com/office/spreadsheetml/2009/9/main" objectType="CheckBox" fmlaLink="AB23" lockText="1" noThreeD="1"/>
</file>

<file path=xl/ctrlProps/ctrlProp402.xml><?xml version="1.0" encoding="utf-8"?>
<formControlPr xmlns="http://schemas.microsoft.com/office/spreadsheetml/2009/9/main" objectType="CheckBox" fmlaLink="AB24" lockText="1" noThreeD="1"/>
</file>

<file path=xl/ctrlProps/ctrlProp403.xml><?xml version="1.0" encoding="utf-8"?>
<formControlPr xmlns="http://schemas.microsoft.com/office/spreadsheetml/2009/9/main" objectType="CheckBox" fmlaLink="AB25" lockText="1" noThreeD="1"/>
</file>

<file path=xl/ctrlProps/ctrlProp404.xml><?xml version="1.0" encoding="utf-8"?>
<formControlPr xmlns="http://schemas.microsoft.com/office/spreadsheetml/2009/9/main" objectType="CheckBox" fmlaLink="AB27" lockText="1" noThreeD="1"/>
</file>

<file path=xl/ctrlProps/ctrlProp405.xml><?xml version="1.0" encoding="utf-8"?>
<formControlPr xmlns="http://schemas.microsoft.com/office/spreadsheetml/2009/9/main" objectType="CheckBox" fmlaLink="AB30" lockText="1" noThreeD="1"/>
</file>

<file path=xl/ctrlProps/ctrlProp406.xml><?xml version="1.0" encoding="utf-8"?>
<formControlPr xmlns="http://schemas.microsoft.com/office/spreadsheetml/2009/9/main" objectType="CheckBox" fmlaLink="AB31" lockText="1" noThreeD="1"/>
</file>

<file path=xl/ctrlProps/ctrlProp407.xml><?xml version="1.0" encoding="utf-8"?>
<formControlPr xmlns="http://schemas.microsoft.com/office/spreadsheetml/2009/9/main" objectType="CheckBox" fmlaLink="AB32" lockText="1" noThreeD="1"/>
</file>

<file path=xl/ctrlProps/ctrlProp408.xml><?xml version="1.0" encoding="utf-8"?>
<formControlPr xmlns="http://schemas.microsoft.com/office/spreadsheetml/2009/9/main" objectType="CheckBox" fmlaLink="AB34" lockText="1" noThreeD="1"/>
</file>

<file path=xl/ctrlProps/ctrlProp409.xml><?xml version="1.0" encoding="utf-8"?>
<formControlPr xmlns="http://schemas.microsoft.com/office/spreadsheetml/2009/9/main" objectType="CheckBox" fmlaLink="AB37" lockText="1" noThreeD="1"/>
</file>

<file path=xl/ctrlProps/ctrlProp410.xml><?xml version="1.0" encoding="utf-8"?>
<formControlPr xmlns="http://schemas.microsoft.com/office/spreadsheetml/2009/9/main" objectType="CheckBox" fmlaLink="AB38" lockText="1" noThreeD="1"/>
</file>

<file path=xl/ctrlProps/ctrlProp411.xml><?xml version="1.0" encoding="utf-8"?>
<formControlPr xmlns="http://schemas.microsoft.com/office/spreadsheetml/2009/9/main" objectType="CheckBox" fmlaLink="AB39" lockText="1" noThreeD="1"/>
</file>

<file path=xl/ctrlProps/ctrlProp412.xml><?xml version="1.0" encoding="utf-8"?>
<formControlPr xmlns="http://schemas.microsoft.com/office/spreadsheetml/2009/9/main" objectType="CheckBox" fmlaLink="AB41" lockText="1" noThreeD="1"/>
</file>

<file path=xl/ctrlProps/ctrlProp413.xml><?xml version="1.0" encoding="utf-8"?>
<formControlPr xmlns="http://schemas.microsoft.com/office/spreadsheetml/2009/9/main" objectType="CheckBox" fmlaLink="AB44" lockText="1" noThreeD="1"/>
</file>

<file path=xl/ctrlProps/ctrlProp414.xml><?xml version="1.0" encoding="utf-8"?>
<formControlPr xmlns="http://schemas.microsoft.com/office/spreadsheetml/2009/9/main" objectType="CheckBox" fmlaLink="AB45" lockText="1" noThreeD="1"/>
</file>

<file path=xl/ctrlProps/ctrlProp415.xml><?xml version="1.0" encoding="utf-8"?>
<formControlPr xmlns="http://schemas.microsoft.com/office/spreadsheetml/2009/9/main" objectType="CheckBox" fmlaLink="AB46" lockText="1" noThreeD="1"/>
</file>

<file path=xl/ctrlProps/ctrlProp416.xml><?xml version="1.0" encoding="utf-8"?>
<formControlPr xmlns="http://schemas.microsoft.com/office/spreadsheetml/2009/9/main" objectType="CheckBox" fmlaLink="AB48" lockText="1" noThreeD="1"/>
</file>

<file path=xl/ctrlProps/ctrlProp417.xml><?xml version="1.0" encoding="utf-8"?>
<formControlPr xmlns="http://schemas.microsoft.com/office/spreadsheetml/2009/9/main" objectType="CheckBox" fmlaLink="AB51" lockText="1" noThreeD="1"/>
</file>

<file path=xl/ctrlProps/ctrlProp418.xml><?xml version="1.0" encoding="utf-8"?>
<formControlPr xmlns="http://schemas.microsoft.com/office/spreadsheetml/2009/9/main" objectType="CheckBox" fmlaLink="AB52" lockText="1" noThreeD="1"/>
</file>

<file path=xl/ctrlProps/ctrlProp419.xml><?xml version="1.0" encoding="utf-8"?>
<formControlPr xmlns="http://schemas.microsoft.com/office/spreadsheetml/2009/9/main" objectType="CheckBox" fmlaLink="AB53" lockText="1" noThreeD="1"/>
</file>

<file path=xl/ctrlProps/ctrlProp420.xml><?xml version="1.0" encoding="utf-8"?>
<formControlPr xmlns="http://schemas.microsoft.com/office/spreadsheetml/2009/9/main" objectType="CheckBox" fmlaLink="AB54" lockText="1" noThreeD="1"/>
</file>

<file path=xl/ctrlProps/ctrlProp421.xml><?xml version="1.0" encoding="utf-8"?>
<formControlPr xmlns="http://schemas.microsoft.com/office/spreadsheetml/2009/9/main" objectType="CheckBox" fmlaLink="AB55" lockText="1" noThreeD="1"/>
</file>

<file path=xl/ctrlProps/ctrlProp422.xml><?xml version="1.0" encoding="utf-8"?>
<formControlPr xmlns="http://schemas.microsoft.com/office/spreadsheetml/2009/9/main" objectType="CheckBox" fmlaLink="AB58" lockText="1" noThreeD="1"/>
</file>

<file path=xl/ctrlProps/ctrlProp423.xml><?xml version="1.0" encoding="utf-8"?>
<formControlPr xmlns="http://schemas.microsoft.com/office/spreadsheetml/2009/9/main" objectType="CheckBox" fmlaLink="AB59" lockText="1" noThreeD="1"/>
</file>

<file path=xl/ctrlProps/ctrlProp424.xml><?xml version="1.0" encoding="utf-8"?>
<formControlPr xmlns="http://schemas.microsoft.com/office/spreadsheetml/2009/9/main" objectType="CheckBox" fmlaLink="AB60" lockText="1" noThreeD="1"/>
</file>

<file path=xl/ctrlProps/ctrlProp425.xml><?xml version="1.0" encoding="utf-8"?>
<formControlPr xmlns="http://schemas.microsoft.com/office/spreadsheetml/2009/9/main" objectType="CheckBox" fmlaLink="AB62" lockText="1" noThreeD="1"/>
</file>

<file path=xl/ctrlProps/ctrlProp426.xml><?xml version="1.0" encoding="utf-8"?>
<formControlPr xmlns="http://schemas.microsoft.com/office/spreadsheetml/2009/9/main" objectType="CheckBox" fmlaLink="AB65" lockText="1" noThreeD="1"/>
</file>

<file path=xl/ctrlProps/ctrlProp427.xml><?xml version="1.0" encoding="utf-8"?>
<formControlPr xmlns="http://schemas.microsoft.com/office/spreadsheetml/2009/9/main" objectType="CheckBox" fmlaLink="AB66" lockText="1" noThreeD="1"/>
</file>

<file path=xl/ctrlProps/ctrlProp428.xml><?xml version="1.0" encoding="utf-8"?>
<formControlPr xmlns="http://schemas.microsoft.com/office/spreadsheetml/2009/9/main" objectType="CheckBox" fmlaLink="AB67" lockText="1" noThreeD="1"/>
</file>

<file path=xl/ctrlProps/ctrlProp429.xml><?xml version="1.0" encoding="utf-8"?>
<formControlPr xmlns="http://schemas.microsoft.com/office/spreadsheetml/2009/9/main" objectType="CheckBox" fmlaLink="AB68" lockText="1" noThreeD="1"/>
</file>

<file path=xl/ctrlProps/ctrlProp430.xml><?xml version="1.0" encoding="utf-8"?>
<formControlPr xmlns="http://schemas.microsoft.com/office/spreadsheetml/2009/9/main" objectType="CheckBox" fmlaLink="AB69" lockText="1" noThreeD="1"/>
</file>

<file path=xl/ctrlProps/ctrlProp431.xml><?xml version="1.0" encoding="utf-8"?>
<formControlPr xmlns="http://schemas.microsoft.com/office/spreadsheetml/2009/9/main" objectType="CheckBox" fmlaLink="AB72" lockText="1" noThreeD="1"/>
</file>

<file path=xl/ctrlProps/ctrlProp432.xml><?xml version="1.0" encoding="utf-8"?>
<formControlPr xmlns="http://schemas.microsoft.com/office/spreadsheetml/2009/9/main" objectType="CheckBox" fmlaLink="AB73" lockText="1" noThreeD="1"/>
</file>

<file path=xl/ctrlProps/ctrlProp433.xml><?xml version="1.0" encoding="utf-8"?>
<formControlPr xmlns="http://schemas.microsoft.com/office/spreadsheetml/2009/9/main" objectType="CheckBox" fmlaLink="AB74" lockText="1" noThreeD="1"/>
</file>

<file path=xl/ctrlProps/ctrlProp434.xml><?xml version="1.0" encoding="utf-8"?>
<formControlPr xmlns="http://schemas.microsoft.com/office/spreadsheetml/2009/9/main" objectType="CheckBox" fmlaLink="AB76" lockText="1" noThreeD="1"/>
</file>

<file path=xl/ctrlProps/ctrlProp435.xml><?xml version="1.0" encoding="utf-8"?>
<formControlPr xmlns="http://schemas.microsoft.com/office/spreadsheetml/2009/9/main" objectType="CheckBox" fmlaLink="AA19" lockText="1" noThreeD="1"/>
</file>

<file path=xl/ctrlProps/ctrlProp436.xml><?xml version="1.0" encoding="utf-8"?>
<formControlPr xmlns="http://schemas.microsoft.com/office/spreadsheetml/2009/9/main" objectType="CheckBox" fmlaLink="AB19" lockText="1" noThreeD="1"/>
</file>

<file path=xl/ctrlProps/ctrlProp437.xml><?xml version="1.0" encoding="utf-8"?>
<formControlPr xmlns="http://schemas.microsoft.com/office/spreadsheetml/2009/9/main" objectType="CheckBox" fmlaLink="AA18" lockText="1" noThreeD="1"/>
</file>

<file path=xl/ctrlProps/ctrlProp438.xml><?xml version="1.0" encoding="utf-8"?>
<formControlPr xmlns="http://schemas.microsoft.com/office/spreadsheetml/2009/9/main" objectType="CheckBox" fmlaLink="AB18" lockText="1" noThreeD="1"/>
</file>

<file path=xl/ctrlProps/ctrlProp439.xml><?xml version="1.0" encoding="utf-8"?>
<formControlPr xmlns="http://schemas.microsoft.com/office/spreadsheetml/2009/9/main" objectType="CheckBox" fmlaLink="AA26" lockText="1" noThreeD="1"/>
</file>

<file path=xl/ctrlProps/ctrlProp440.xml><?xml version="1.0" encoding="utf-8"?>
<formControlPr xmlns="http://schemas.microsoft.com/office/spreadsheetml/2009/9/main" objectType="CheckBox" fmlaLink="AB26" lockText="1" noThreeD="1"/>
</file>

<file path=xl/ctrlProps/ctrlProp441.xml><?xml version="1.0" encoding="utf-8"?>
<formControlPr xmlns="http://schemas.microsoft.com/office/spreadsheetml/2009/9/main" objectType="CheckBox" fmlaLink="AA33" lockText="1" noThreeD="1"/>
</file>

<file path=xl/ctrlProps/ctrlProp442.xml><?xml version="1.0" encoding="utf-8"?>
<formControlPr xmlns="http://schemas.microsoft.com/office/spreadsheetml/2009/9/main" objectType="CheckBox" fmlaLink="AB33" lockText="1" noThreeD="1"/>
</file>

<file path=xl/ctrlProps/ctrlProp443.xml><?xml version="1.0" encoding="utf-8"?>
<formControlPr xmlns="http://schemas.microsoft.com/office/spreadsheetml/2009/9/main" objectType="CheckBox" fmlaLink="AA40" lockText="1" noThreeD="1"/>
</file>

<file path=xl/ctrlProps/ctrlProp444.xml><?xml version="1.0" encoding="utf-8"?>
<formControlPr xmlns="http://schemas.microsoft.com/office/spreadsheetml/2009/9/main" objectType="CheckBox" fmlaLink="AB40" lockText="1" noThreeD="1"/>
</file>

<file path=xl/ctrlProps/ctrlProp445.xml><?xml version="1.0" encoding="utf-8"?>
<formControlPr xmlns="http://schemas.microsoft.com/office/spreadsheetml/2009/9/main" objectType="CheckBox" fmlaLink="AA47" lockText="1" noThreeD="1"/>
</file>

<file path=xl/ctrlProps/ctrlProp446.xml><?xml version="1.0" encoding="utf-8"?>
<formControlPr xmlns="http://schemas.microsoft.com/office/spreadsheetml/2009/9/main" objectType="CheckBox" fmlaLink="AB47" lockText="1" noThreeD="1"/>
</file>

<file path=xl/ctrlProps/ctrlProp447.xml><?xml version="1.0" encoding="utf-8"?>
<formControlPr xmlns="http://schemas.microsoft.com/office/spreadsheetml/2009/9/main" objectType="CheckBox" fmlaLink="AA61" lockText="1" noThreeD="1"/>
</file>

<file path=xl/ctrlProps/ctrlProp448.xml><?xml version="1.0" encoding="utf-8"?>
<formControlPr xmlns="http://schemas.microsoft.com/office/spreadsheetml/2009/9/main" objectType="CheckBox" fmlaLink="AB61" lockText="1" noThreeD="1"/>
</file>

<file path=xl/ctrlProps/ctrlProp449.xml><?xml version="1.0" encoding="utf-8"?>
<formControlPr xmlns="http://schemas.microsoft.com/office/spreadsheetml/2009/9/main" objectType="CheckBox" fmlaLink="AA75" lockText="1" noThreeD="1"/>
</file>

<file path=xl/ctrlProps/ctrlProp450.xml><?xml version="1.0" encoding="utf-8"?>
<formControlPr xmlns="http://schemas.microsoft.com/office/spreadsheetml/2009/9/main" objectType="CheckBox" fmlaLink="AB75" lockText="1" noThreeD="1"/>
</file>

<file path=xl/ctrlProps/ctrlProp451.xml><?xml version="1.0" encoding="utf-8"?>
<formControlPr xmlns="http://schemas.microsoft.com/office/spreadsheetml/2009/9/main" objectType="CheckBox" fmlaLink="AA16" lockText="1" noThreeD="1"/>
</file>

<file path=xl/ctrlProps/ctrlProp452.xml><?xml version="1.0" encoding="utf-8"?>
<formControlPr xmlns="http://schemas.microsoft.com/office/spreadsheetml/2009/9/main" objectType="CheckBox" fmlaLink="AA17" lockText="1" noThreeD="1"/>
</file>

<file path=xl/ctrlProps/ctrlProp453.xml><?xml version="1.0" encoding="utf-8"?>
<formControlPr xmlns="http://schemas.microsoft.com/office/spreadsheetml/2009/9/main" objectType="CheckBox" fmlaLink="AA20" lockText="1" noThreeD="1"/>
</file>

<file path=xl/ctrlProps/ctrlProp454.xml><?xml version="1.0" encoding="utf-8"?>
<formControlPr xmlns="http://schemas.microsoft.com/office/spreadsheetml/2009/9/main" objectType="CheckBox" fmlaLink="AA23" lockText="1" noThreeD="1"/>
</file>

<file path=xl/ctrlProps/ctrlProp455.xml><?xml version="1.0" encoding="utf-8"?>
<formControlPr xmlns="http://schemas.microsoft.com/office/spreadsheetml/2009/9/main" objectType="CheckBox" fmlaLink="AA24" lockText="1" noThreeD="1"/>
</file>

<file path=xl/ctrlProps/ctrlProp456.xml><?xml version="1.0" encoding="utf-8"?>
<formControlPr xmlns="http://schemas.microsoft.com/office/spreadsheetml/2009/9/main" objectType="CheckBox" fmlaLink="AA25" lockText="1" noThreeD="1"/>
</file>

<file path=xl/ctrlProps/ctrlProp457.xml><?xml version="1.0" encoding="utf-8"?>
<formControlPr xmlns="http://schemas.microsoft.com/office/spreadsheetml/2009/9/main" objectType="CheckBox" fmlaLink="AA27" lockText="1" noThreeD="1"/>
</file>

<file path=xl/ctrlProps/ctrlProp458.xml><?xml version="1.0" encoding="utf-8"?>
<formControlPr xmlns="http://schemas.microsoft.com/office/spreadsheetml/2009/9/main" objectType="CheckBox" fmlaLink="AA30" lockText="1" noThreeD="1"/>
</file>

<file path=xl/ctrlProps/ctrlProp459.xml><?xml version="1.0" encoding="utf-8"?>
<formControlPr xmlns="http://schemas.microsoft.com/office/spreadsheetml/2009/9/main" objectType="CheckBox" fmlaLink="AA31" lockText="1" noThreeD="1"/>
</file>

<file path=xl/ctrlProps/ctrlProp460.xml><?xml version="1.0" encoding="utf-8"?>
<formControlPr xmlns="http://schemas.microsoft.com/office/spreadsheetml/2009/9/main" objectType="CheckBox" fmlaLink="AA32" lockText="1" noThreeD="1"/>
</file>

<file path=xl/ctrlProps/ctrlProp461.xml><?xml version="1.0" encoding="utf-8"?>
<formControlPr xmlns="http://schemas.microsoft.com/office/spreadsheetml/2009/9/main" objectType="CheckBox" fmlaLink="AA34" lockText="1" noThreeD="1"/>
</file>

<file path=xl/ctrlProps/ctrlProp462.xml><?xml version="1.0" encoding="utf-8"?>
<formControlPr xmlns="http://schemas.microsoft.com/office/spreadsheetml/2009/9/main" objectType="CheckBox" fmlaLink="AA37" lockText="1" noThreeD="1"/>
</file>

<file path=xl/ctrlProps/ctrlProp463.xml><?xml version="1.0" encoding="utf-8"?>
<formControlPr xmlns="http://schemas.microsoft.com/office/spreadsheetml/2009/9/main" objectType="CheckBox" fmlaLink="AA38" lockText="1" noThreeD="1"/>
</file>

<file path=xl/ctrlProps/ctrlProp464.xml><?xml version="1.0" encoding="utf-8"?>
<formControlPr xmlns="http://schemas.microsoft.com/office/spreadsheetml/2009/9/main" objectType="CheckBox" fmlaLink="AA39" lockText="1" noThreeD="1"/>
</file>

<file path=xl/ctrlProps/ctrlProp465.xml><?xml version="1.0" encoding="utf-8"?>
<formControlPr xmlns="http://schemas.microsoft.com/office/spreadsheetml/2009/9/main" objectType="CheckBox" fmlaLink="AA41" lockText="1" noThreeD="1"/>
</file>

<file path=xl/ctrlProps/ctrlProp466.xml><?xml version="1.0" encoding="utf-8"?>
<formControlPr xmlns="http://schemas.microsoft.com/office/spreadsheetml/2009/9/main" objectType="CheckBox" fmlaLink="AA44" lockText="1" noThreeD="1"/>
</file>

<file path=xl/ctrlProps/ctrlProp467.xml><?xml version="1.0" encoding="utf-8"?>
<formControlPr xmlns="http://schemas.microsoft.com/office/spreadsheetml/2009/9/main" objectType="CheckBox" fmlaLink="AA45" lockText="1" noThreeD="1"/>
</file>

<file path=xl/ctrlProps/ctrlProp468.xml><?xml version="1.0" encoding="utf-8"?>
<formControlPr xmlns="http://schemas.microsoft.com/office/spreadsheetml/2009/9/main" objectType="CheckBox" fmlaLink="AA46" lockText="1" noThreeD="1"/>
</file>

<file path=xl/ctrlProps/ctrlProp469.xml><?xml version="1.0" encoding="utf-8"?>
<formControlPr xmlns="http://schemas.microsoft.com/office/spreadsheetml/2009/9/main" objectType="CheckBox" fmlaLink="AA48" lockText="1" noThreeD="1"/>
</file>

<file path=xl/ctrlProps/ctrlProp470.xml><?xml version="1.0" encoding="utf-8"?>
<formControlPr xmlns="http://schemas.microsoft.com/office/spreadsheetml/2009/9/main" objectType="CheckBox" fmlaLink="AA51" lockText="1" noThreeD="1"/>
</file>

<file path=xl/ctrlProps/ctrlProp471.xml><?xml version="1.0" encoding="utf-8"?>
<formControlPr xmlns="http://schemas.microsoft.com/office/spreadsheetml/2009/9/main" objectType="CheckBox" fmlaLink="AA52" lockText="1" noThreeD="1"/>
</file>

<file path=xl/ctrlProps/ctrlProp472.xml><?xml version="1.0" encoding="utf-8"?>
<formControlPr xmlns="http://schemas.microsoft.com/office/spreadsheetml/2009/9/main" objectType="CheckBox" fmlaLink="AA53" lockText="1" noThreeD="1"/>
</file>

<file path=xl/ctrlProps/ctrlProp473.xml><?xml version="1.0" encoding="utf-8"?>
<formControlPr xmlns="http://schemas.microsoft.com/office/spreadsheetml/2009/9/main" objectType="CheckBox" fmlaLink="AA54" lockText="1" noThreeD="1"/>
</file>

<file path=xl/ctrlProps/ctrlProp474.xml><?xml version="1.0" encoding="utf-8"?>
<formControlPr xmlns="http://schemas.microsoft.com/office/spreadsheetml/2009/9/main" objectType="CheckBox" fmlaLink="AA55" lockText="1" noThreeD="1"/>
</file>

<file path=xl/ctrlProps/ctrlProp475.xml><?xml version="1.0" encoding="utf-8"?>
<formControlPr xmlns="http://schemas.microsoft.com/office/spreadsheetml/2009/9/main" objectType="CheckBox" fmlaLink="AA58" lockText="1" noThreeD="1"/>
</file>

<file path=xl/ctrlProps/ctrlProp476.xml><?xml version="1.0" encoding="utf-8"?>
<formControlPr xmlns="http://schemas.microsoft.com/office/spreadsheetml/2009/9/main" objectType="CheckBox" fmlaLink="AA59" lockText="1" noThreeD="1"/>
</file>

<file path=xl/ctrlProps/ctrlProp477.xml><?xml version="1.0" encoding="utf-8"?>
<formControlPr xmlns="http://schemas.microsoft.com/office/spreadsheetml/2009/9/main" objectType="CheckBox" fmlaLink="AA60" lockText="1" noThreeD="1"/>
</file>

<file path=xl/ctrlProps/ctrlProp478.xml><?xml version="1.0" encoding="utf-8"?>
<formControlPr xmlns="http://schemas.microsoft.com/office/spreadsheetml/2009/9/main" objectType="CheckBox" fmlaLink="AA62" lockText="1" noThreeD="1"/>
</file>

<file path=xl/ctrlProps/ctrlProp479.xml><?xml version="1.0" encoding="utf-8"?>
<formControlPr xmlns="http://schemas.microsoft.com/office/spreadsheetml/2009/9/main" objectType="CheckBox" fmlaLink="AA65" lockText="1" noThreeD="1"/>
</file>

<file path=xl/ctrlProps/ctrlProp480.xml><?xml version="1.0" encoding="utf-8"?>
<formControlPr xmlns="http://schemas.microsoft.com/office/spreadsheetml/2009/9/main" objectType="CheckBox" fmlaLink="AA66" lockText="1" noThreeD="1"/>
</file>

<file path=xl/ctrlProps/ctrlProp481.xml><?xml version="1.0" encoding="utf-8"?>
<formControlPr xmlns="http://schemas.microsoft.com/office/spreadsheetml/2009/9/main" objectType="CheckBox" fmlaLink="AA67" lockText="1" noThreeD="1"/>
</file>

<file path=xl/ctrlProps/ctrlProp482.xml><?xml version="1.0" encoding="utf-8"?>
<formControlPr xmlns="http://schemas.microsoft.com/office/spreadsheetml/2009/9/main" objectType="CheckBox" fmlaLink="AA68" lockText="1" noThreeD="1"/>
</file>

<file path=xl/ctrlProps/ctrlProp483.xml><?xml version="1.0" encoding="utf-8"?>
<formControlPr xmlns="http://schemas.microsoft.com/office/spreadsheetml/2009/9/main" objectType="CheckBox" fmlaLink="AA69" lockText="1" noThreeD="1"/>
</file>

<file path=xl/ctrlProps/ctrlProp484.xml><?xml version="1.0" encoding="utf-8"?>
<formControlPr xmlns="http://schemas.microsoft.com/office/spreadsheetml/2009/9/main" objectType="CheckBox" fmlaLink="AA72" lockText="1" noThreeD="1"/>
</file>

<file path=xl/ctrlProps/ctrlProp485.xml><?xml version="1.0" encoding="utf-8"?>
<formControlPr xmlns="http://schemas.microsoft.com/office/spreadsheetml/2009/9/main" objectType="CheckBox" fmlaLink="AA73" lockText="1" noThreeD="1"/>
</file>

<file path=xl/ctrlProps/ctrlProp486.xml><?xml version="1.0" encoding="utf-8"?>
<formControlPr xmlns="http://schemas.microsoft.com/office/spreadsheetml/2009/9/main" objectType="CheckBox" fmlaLink="AA74" lockText="1" noThreeD="1"/>
</file>

<file path=xl/ctrlProps/ctrlProp487.xml><?xml version="1.0" encoding="utf-8"?>
<formControlPr xmlns="http://schemas.microsoft.com/office/spreadsheetml/2009/9/main" objectType="CheckBox" fmlaLink="AA76" lockText="1" noThreeD="1"/>
</file>

<file path=xl/ctrlProps/ctrlProp488.xml><?xml version="1.0" encoding="utf-8"?>
<formControlPr xmlns="http://schemas.microsoft.com/office/spreadsheetml/2009/9/main" objectType="CheckBox" fmlaLink="AB16" lockText="1" noThreeD="1"/>
</file>

<file path=xl/ctrlProps/ctrlProp489.xml><?xml version="1.0" encoding="utf-8"?>
<formControlPr xmlns="http://schemas.microsoft.com/office/spreadsheetml/2009/9/main" objectType="CheckBox" fmlaLink="AB17" lockText="1" noThreeD="1"/>
</file>

<file path=xl/ctrlProps/ctrlProp490.xml><?xml version="1.0" encoding="utf-8"?>
<formControlPr xmlns="http://schemas.microsoft.com/office/spreadsheetml/2009/9/main" objectType="CheckBox" fmlaLink="AB20" lockText="1" noThreeD="1"/>
</file>

<file path=xl/ctrlProps/ctrlProp491.xml><?xml version="1.0" encoding="utf-8"?>
<formControlPr xmlns="http://schemas.microsoft.com/office/spreadsheetml/2009/9/main" objectType="CheckBox" fmlaLink="AB23" lockText="1" noThreeD="1"/>
</file>

<file path=xl/ctrlProps/ctrlProp492.xml><?xml version="1.0" encoding="utf-8"?>
<formControlPr xmlns="http://schemas.microsoft.com/office/spreadsheetml/2009/9/main" objectType="CheckBox" fmlaLink="AB24" lockText="1" noThreeD="1"/>
</file>

<file path=xl/ctrlProps/ctrlProp493.xml><?xml version="1.0" encoding="utf-8"?>
<formControlPr xmlns="http://schemas.microsoft.com/office/spreadsheetml/2009/9/main" objectType="CheckBox" fmlaLink="AB25" lockText="1" noThreeD="1"/>
</file>

<file path=xl/ctrlProps/ctrlProp494.xml><?xml version="1.0" encoding="utf-8"?>
<formControlPr xmlns="http://schemas.microsoft.com/office/spreadsheetml/2009/9/main" objectType="CheckBox" fmlaLink="AB27" lockText="1" noThreeD="1"/>
</file>

<file path=xl/ctrlProps/ctrlProp495.xml><?xml version="1.0" encoding="utf-8"?>
<formControlPr xmlns="http://schemas.microsoft.com/office/spreadsheetml/2009/9/main" objectType="CheckBox" fmlaLink="AB30" lockText="1" noThreeD="1"/>
</file>

<file path=xl/ctrlProps/ctrlProp496.xml><?xml version="1.0" encoding="utf-8"?>
<formControlPr xmlns="http://schemas.microsoft.com/office/spreadsheetml/2009/9/main" objectType="CheckBox" fmlaLink="AB31" lockText="1" noThreeD="1"/>
</file>

<file path=xl/ctrlProps/ctrlProp497.xml><?xml version="1.0" encoding="utf-8"?>
<formControlPr xmlns="http://schemas.microsoft.com/office/spreadsheetml/2009/9/main" objectType="CheckBox" fmlaLink="AB32" lockText="1" noThreeD="1"/>
</file>

<file path=xl/ctrlProps/ctrlProp498.xml><?xml version="1.0" encoding="utf-8"?>
<formControlPr xmlns="http://schemas.microsoft.com/office/spreadsheetml/2009/9/main" objectType="CheckBox" fmlaLink="AB34" lockText="1" noThreeD="1"/>
</file>

<file path=xl/ctrlProps/ctrlProp499.xml><?xml version="1.0" encoding="utf-8"?>
<formControlPr xmlns="http://schemas.microsoft.com/office/spreadsheetml/2009/9/main" objectType="CheckBox" fmlaLink="AB37" lockText="1" noThreeD="1"/>
</file>

<file path=xl/ctrlProps/ctrlProp500.xml><?xml version="1.0" encoding="utf-8"?>
<formControlPr xmlns="http://schemas.microsoft.com/office/spreadsheetml/2009/9/main" objectType="CheckBox" fmlaLink="AB38" lockText="1" noThreeD="1"/>
</file>

<file path=xl/ctrlProps/ctrlProp501.xml><?xml version="1.0" encoding="utf-8"?>
<formControlPr xmlns="http://schemas.microsoft.com/office/spreadsheetml/2009/9/main" objectType="CheckBox" fmlaLink="AB39" lockText="1" noThreeD="1"/>
</file>

<file path=xl/ctrlProps/ctrlProp502.xml><?xml version="1.0" encoding="utf-8"?>
<formControlPr xmlns="http://schemas.microsoft.com/office/spreadsheetml/2009/9/main" objectType="CheckBox" fmlaLink="AB41" lockText="1" noThreeD="1"/>
</file>

<file path=xl/ctrlProps/ctrlProp503.xml><?xml version="1.0" encoding="utf-8"?>
<formControlPr xmlns="http://schemas.microsoft.com/office/spreadsheetml/2009/9/main" objectType="CheckBox" fmlaLink="AB44" lockText="1" noThreeD="1"/>
</file>

<file path=xl/ctrlProps/ctrlProp504.xml><?xml version="1.0" encoding="utf-8"?>
<formControlPr xmlns="http://schemas.microsoft.com/office/spreadsheetml/2009/9/main" objectType="CheckBox" fmlaLink="AB45" lockText="1" noThreeD="1"/>
</file>

<file path=xl/ctrlProps/ctrlProp505.xml><?xml version="1.0" encoding="utf-8"?>
<formControlPr xmlns="http://schemas.microsoft.com/office/spreadsheetml/2009/9/main" objectType="CheckBox" fmlaLink="AB46" lockText="1" noThreeD="1"/>
</file>

<file path=xl/ctrlProps/ctrlProp506.xml><?xml version="1.0" encoding="utf-8"?>
<formControlPr xmlns="http://schemas.microsoft.com/office/spreadsheetml/2009/9/main" objectType="CheckBox" fmlaLink="AB48" lockText="1" noThreeD="1"/>
</file>

<file path=xl/ctrlProps/ctrlProp507.xml><?xml version="1.0" encoding="utf-8"?>
<formControlPr xmlns="http://schemas.microsoft.com/office/spreadsheetml/2009/9/main" objectType="CheckBox" fmlaLink="AB51" lockText="1" noThreeD="1"/>
</file>

<file path=xl/ctrlProps/ctrlProp508.xml><?xml version="1.0" encoding="utf-8"?>
<formControlPr xmlns="http://schemas.microsoft.com/office/spreadsheetml/2009/9/main" objectType="CheckBox" fmlaLink="AB52" lockText="1" noThreeD="1"/>
</file>

<file path=xl/ctrlProps/ctrlProp509.xml><?xml version="1.0" encoding="utf-8"?>
<formControlPr xmlns="http://schemas.microsoft.com/office/spreadsheetml/2009/9/main" objectType="CheckBox" fmlaLink="AB53" lockText="1" noThreeD="1"/>
</file>

<file path=xl/ctrlProps/ctrlProp510.xml><?xml version="1.0" encoding="utf-8"?>
<formControlPr xmlns="http://schemas.microsoft.com/office/spreadsheetml/2009/9/main" objectType="CheckBox" fmlaLink="AB54" lockText="1" noThreeD="1"/>
</file>

<file path=xl/ctrlProps/ctrlProp511.xml><?xml version="1.0" encoding="utf-8"?>
<formControlPr xmlns="http://schemas.microsoft.com/office/spreadsheetml/2009/9/main" objectType="CheckBox" fmlaLink="AB55" lockText="1" noThreeD="1"/>
</file>

<file path=xl/ctrlProps/ctrlProp512.xml><?xml version="1.0" encoding="utf-8"?>
<formControlPr xmlns="http://schemas.microsoft.com/office/spreadsheetml/2009/9/main" objectType="CheckBox" fmlaLink="AB58" lockText="1" noThreeD="1"/>
</file>

<file path=xl/ctrlProps/ctrlProp513.xml><?xml version="1.0" encoding="utf-8"?>
<formControlPr xmlns="http://schemas.microsoft.com/office/spreadsheetml/2009/9/main" objectType="CheckBox" fmlaLink="AB59" lockText="1" noThreeD="1"/>
</file>

<file path=xl/ctrlProps/ctrlProp514.xml><?xml version="1.0" encoding="utf-8"?>
<formControlPr xmlns="http://schemas.microsoft.com/office/spreadsheetml/2009/9/main" objectType="CheckBox" fmlaLink="AB60" lockText="1" noThreeD="1"/>
</file>

<file path=xl/ctrlProps/ctrlProp515.xml><?xml version="1.0" encoding="utf-8"?>
<formControlPr xmlns="http://schemas.microsoft.com/office/spreadsheetml/2009/9/main" objectType="CheckBox" fmlaLink="AB62" lockText="1" noThreeD="1"/>
</file>

<file path=xl/ctrlProps/ctrlProp516.xml><?xml version="1.0" encoding="utf-8"?>
<formControlPr xmlns="http://schemas.microsoft.com/office/spreadsheetml/2009/9/main" objectType="CheckBox" fmlaLink="AB65" lockText="1" noThreeD="1"/>
</file>

<file path=xl/ctrlProps/ctrlProp517.xml><?xml version="1.0" encoding="utf-8"?>
<formControlPr xmlns="http://schemas.microsoft.com/office/spreadsheetml/2009/9/main" objectType="CheckBox" fmlaLink="AB66" lockText="1" noThreeD="1"/>
</file>

<file path=xl/ctrlProps/ctrlProp518.xml><?xml version="1.0" encoding="utf-8"?>
<formControlPr xmlns="http://schemas.microsoft.com/office/spreadsheetml/2009/9/main" objectType="CheckBox" fmlaLink="AB67" lockText="1" noThreeD="1"/>
</file>

<file path=xl/ctrlProps/ctrlProp519.xml><?xml version="1.0" encoding="utf-8"?>
<formControlPr xmlns="http://schemas.microsoft.com/office/spreadsheetml/2009/9/main" objectType="CheckBox" fmlaLink="AB68" lockText="1" noThreeD="1"/>
</file>

<file path=xl/ctrlProps/ctrlProp520.xml><?xml version="1.0" encoding="utf-8"?>
<formControlPr xmlns="http://schemas.microsoft.com/office/spreadsheetml/2009/9/main" objectType="CheckBox" fmlaLink="AB69" lockText="1" noThreeD="1"/>
</file>

<file path=xl/ctrlProps/ctrlProp521.xml><?xml version="1.0" encoding="utf-8"?>
<formControlPr xmlns="http://schemas.microsoft.com/office/spreadsheetml/2009/9/main" objectType="CheckBox" fmlaLink="AB72" lockText="1" noThreeD="1"/>
</file>

<file path=xl/ctrlProps/ctrlProp522.xml><?xml version="1.0" encoding="utf-8"?>
<formControlPr xmlns="http://schemas.microsoft.com/office/spreadsheetml/2009/9/main" objectType="CheckBox" fmlaLink="AB73" lockText="1" noThreeD="1"/>
</file>

<file path=xl/ctrlProps/ctrlProp523.xml><?xml version="1.0" encoding="utf-8"?>
<formControlPr xmlns="http://schemas.microsoft.com/office/spreadsheetml/2009/9/main" objectType="CheckBox" fmlaLink="AB74" lockText="1" noThreeD="1"/>
</file>

<file path=xl/ctrlProps/ctrlProp524.xml><?xml version="1.0" encoding="utf-8"?>
<formControlPr xmlns="http://schemas.microsoft.com/office/spreadsheetml/2009/9/main" objectType="CheckBox" fmlaLink="AB76" lockText="1" noThreeD="1"/>
</file>

<file path=xl/ctrlProps/ctrlProp525.xml><?xml version="1.0" encoding="utf-8"?>
<formControlPr xmlns="http://schemas.microsoft.com/office/spreadsheetml/2009/9/main" objectType="CheckBox" fmlaLink="AA19" lockText="1" noThreeD="1"/>
</file>

<file path=xl/ctrlProps/ctrlProp526.xml><?xml version="1.0" encoding="utf-8"?>
<formControlPr xmlns="http://schemas.microsoft.com/office/spreadsheetml/2009/9/main" objectType="CheckBox" fmlaLink="AB19" lockText="1" noThreeD="1"/>
</file>

<file path=xl/ctrlProps/ctrlProp527.xml><?xml version="1.0" encoding="utf-8"?>
<formControlPr xmlns="http://schemas.microsoft.com/office/spreadsheetml/2009/9/main" objectType="CheckBox" fmlaLink="AA18" lockText="1" noThreeD="1"/>
</file>

<file path=xl/ctrlProps/ctrlProp528.xml><?xml version="1.0" encoding="utf-8"?>
<formControlPr xmlns="http://schemas.microsoft.com/office/spreadsheetml/2009/9/main" objectType="CheckBox" fmlaLink="AB18" lockText="1" noThreeD="1"/>
</file>

<file path=xl/ctrlProps/ctrlProp529.xml><?xml version="1.0" encoding="utf-8"?>
<formControlPr xmlns="http://schemas.microsoft.com/office/spreadsheetml/2009/9/main" objectType="CheckBox" fmlaLink="AA26" lockText="1" noThreeD="1"/>
</file>

<file path=xl/ctrlProps/ctrlProp530.xml><?xml version="1.0" encoding="utf-8"?>
<formControlPr xmlns="http://schemas.microsoft.com/office/spreadsheetml/2009/9/main" objectType="CheckBox" fmlaLink="AB26" lockText="1" noThreeD="1"/>
</file>

<file path=xl/ctrlProps/ctrlProp531.xml><?xml version="1.0" encoding="utf-8"?>
<formControlPr xmlns="http://schemas.microsoft.com/office/spreadsheetml/2009/9/main" objectType="CheckBox" fmlaLink="AA33" lockText="1" noThreeD="1"/>
</file>

<file path=xl/ctrlProps/ctrlProp532.xml><?xml version="1.0" encoding="utf-8"?>
<formControlPr xmlns="http://schemas.microsoft.com/office/spreadsheetml/2009/9/main" objectType="CheckBox" fmlaLink="AB33" lockText="1" noThreeD="1"/>
</file>

<file path=xl/ctrlProps/ctrlProp533.xml><?xml version="1.0" encoding="utf-8"?>
<formControlPr xmlns="http://schemas.microsoft.com/office/spreadsheetml/2009/9/main" objectType="CheckBox" fmlaLink="AA40" lockText="1" noThreeD="1"/>
</file>

<file path=xl/ctrlProps/ctrlProp534.xml><?xml version="1.0" encoding="utf-8"?>
<formControlPr xmlns="http://schemas.microsoft.com/office/spreadsheetml/2009/9/main" objectType="CheckBox" fmlaLink="AB40" lockText="1" noThreeD="1"/>
</file>

<file path=xl/ctrlProps/ctrlProp535.xml><?xml version="1.0" encoding="utf-8"?>
<formControlPr xmlns="http://schemas.microsoft.com/office/spreadsheetml/2009/9/main" objectType="CheckBox" fmlaLink="AA47" lockText="1" noThreeD="1"/>
</file>

<file path=xl/ctrlProps/ctrlProp536.xml><?xml version="1.0" encoding="utf-8"?>
<formControlPr xmlns="http://schemas.microsoft.com/office/spreadsheetml/2009/9/main" objectType="CheckBox" fmlaLink="AB47" lockText="1" noThreeD="1"/>
</file>

<file path=xl/ctrlProps/ctrlProp537.xml><?xml version="1.0" encoding="utf-8"?>
<formControlPr xmlns="http://schemas.microsoft.com/office/spreadsheetml/2009/9/main" objectType="CheckBox" fmlaLink="AA61" lockText="1" noThreeD="1"/>
</file>

<file path=xl/ctrlProps/ctrlProp538.xml><?xml version="1.0" encoding="utf-8"?>
<formControlPr xmlns="http://schemas.microsoft.com/office/spreadsheetml/2009/9/main" objectType="CheckBox" fmlaLink="AB61" lockText="1" noThreeD="1"/>
</file>

<file path=xl/ctrlProps/ctrlProp539.xml><?xml version="1.0" encoding="utf-8"?>
<formControlPr xmlns="http://schemas.microsoft.com/office/spreadsheetml/2009/9/main" objectType="CheckBox" fmlaLink="AA75" lockText="1" noThreeD="1"/>
</file>

<file path=xl/ctrlProps/ctrlProp540.xml><?xml version="1.0" encoding="utf-8"?>
<formControlPr xmlns="http://schemas.microsoft.com/office/spreadsheetml/2009/9/main" objectType="CheckBox" fmlaLink="AB75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68580</xdr:rowOff>
        </xdr:from>
        <xdr:to>
          <xdr:col>1</xdr:col>
          <xdr:colOff>327660</xdr:colOff>
          <xdr:row>15</xdr:row>
          <xdr:rowOff>220980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68580</xdr:rowOff>
        </xdr:from>
        <xdr:to>
          <xdr:col>1</xdr:col>
          <xdr:colOff>320040</xdr:colOff>
          <xdr:row>16</xdr:row>
          <xdr:rowOff>259080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68580</xdr:rowOff>
        </xdr:from>
        <xdr:to>
          <xdr:col>1</xdr:col>
          <xdr:colOff>297180</xdr:colOff>
          <xdr:row>19</xdr:row>
          <xdr:rowOff>259080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68580</xdr:rowOff>
        </xdr:from>
        <xdr:to>
          <xdr:col>1</xdr:col>
          <xdr:colOff>297180</xdr:colOff>
          <xdr:row>22</xdr:row>
          <xdr:rowOff>220980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68580</xdr:rowOff>
        </xdr:from>
        <xdr:to>
          <xdr:col>1</xdr:col>
          <xdr:colOff>281940</xdr:colOff>
          <xdr:row>23</xdr:row>
          <xdr:rowOff>243840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68580</xdr:rowOff>
        </xdr:from>
        <xdr:to>
          <xdr:col>1</xdr:col>
          <xdr:colOff>327660</xdr:colOff>
          <xdr:row>24</xdr:row>
          <xdr:rowOff>243840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68580</xdr:rowOff>
        </xdr:from>
        <xdr:to>
          <xdr:col>1</xdr:col>
          <xdr:colOff>297180</xdr:colOff>
          <xdr:row>26</xdr:row>
          <xdr:rowOff>228600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68580</xdr:rowOff>
        </xdr:from>
        <xdr:to>
          <xdr:col>1</xdr:col>
          <xdr:colOff>327660</xdr:colOff>
          <xdr:row>29</xdr:row>
          <xdr:rowOff>220980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68580</xdr:rowOff>
        </xdr:from>
        <xdr:to>
          <xdr:col>1</xdr:col>
          <xdr:colOff>327660</xdr:colOff>
          <xdr:row>30</xdr:row>
          <xdr:rowOff>220980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68580</xdr:rowOff>
        </xdr:from>
        <xdr:to>
          <xdr:col>1</xdr:col>
          <xdr:colOff>327660</xdr:colOff>
          <xdr:row>31</xdr:row>
          <xdr:rowOff>220980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68580</xdr:rowOff>
        </xdr:from>
        <xdr:to>
          <xdr:col>1</xdr:col>
          <xdr:colOff>327660</xdr:colOff>
          <xdr:row>33</xdr:row>
          <xdr:rowOff>220980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68580</xdr:rowOff>
        </xdr:from>
        <xdr:to>
          <xdr:col>1</xdr:col>
          <xdr:colOff>327660</xdr:colOff>
          <xdr:row>36</xdr:row>
          <xdr:rowOff>220980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68580</xdr:rowOff>
        </xdr:from>
        <xdr:to>
          <xdr:col>1</xdr:col>
          <xdr:colOff>327660</xdr:colOff>
          <xdr:row>37</xdr:row>
          <xdr:rowOff>220980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68580</xdr:rowOff>
        </xdr:from>
        <xdr:to>
          <xdr:col>1</xdr:col>
          <xdr:colOff>327660</xdr:colOff>
          <xdr:row>38</xdr:row>
          <xdr:rowOff>220980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68580</xdr:rowOff>
        </xdr:from>
        <xdr:to>
          <xdr:col>1</xdr:col>
          <xdr:colOff>327660</xdr:colOff>
          <xdr:row>40</xdr:row>
          <xdr:rowOff>220980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68580</xdr:rowOff>
        </xdr:from>
        <xdr:to>
          <xdr:col>1</xdr:col>
          <xdr:colOff>327660</xdr:colOff>
          <xdr:row>43</xdr:row>
          <xdr:rowOff>220980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68580</xdr:rowOff>
        </xdr:from>
        <xdr:to>
          <xdr:col>1</xdr:col>
          <xdr:colOff>327660</xdr:colOff>
          <xdr:row>44</xdr:row>
          <xdr:rowOff>220980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68580</xdr:rowOff>
        </xdr:from>
        <xdr:to>
          <xdr:col>1</xdr:col>
          <xdr:colOff>327660</xdr:colOff>
          <xdr:row>45</xdr:row>
          <xdr:rowOff>220980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68580</xdr:rowOff>
        </xdr:from>
        <xdr:to>
          <xdr:col>1</xdr:col>
          <xdr:colOff>327660</xdr:colOff>
          <xdr:row>47</xdr:row>
          <xdr:rowOff>220980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68580</xdr:rowOff>
        </xdr:from>
        <xdr:to>
          <xdr:col>1</xdr:col>
          <xdr:colOff>327660</xdr:colOff>
          <xdr:row>50</xdr:row>
          <xdr:rowOff>220980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68580</xdr:rowOff>
        </xdr:from>
        <xdr:to>
          <xdr:col>1</xdr:col>
          <xdr:colOff>327660</xdr:colOff>
          <xdr:row>51</xdr:row>
          <xdr:rowOff>220980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68580</xdr:rowOff>
        </xdr:from>
        <xdr:to>
          <xdr:col>1</xdr:col>
          <xdr:colOff>327660</xdr:colOff>
          <xdr:row>52</xdr:row>
          <xdr:rowOff>220980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68580</xdr:rowOff>
        </xdr:from>
        <xdr:to>
          <xdr:col>1</xdr:col>
          <xdr:colOff>327660</xdr:colOff>
          <xdr:row>53</xdr:row>
          <xdr:rowOff>220980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68580</xdr:rowOff>
        </xdr:from>
        <xdr:to>
          <xdr:col>1</xdr:col>
          <xdr:colOff>327660</xdr:colOff>
          <xdr:row>54</xdr:row>
          <xdr:rowOff>220980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68580</xdr:rowOff>
        </xdr:from>
        <xdr:to>
          <xdr:col>1</xdr:col>
          <xdr:colOff>327660</xdr:colOff>
          <xdr:row>57</xdr:row>
          <xdr:rowOff>220980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68580</xdr:rowOff>
        </xdr:from>
        <xdr:to>
          <xdr:col>1</xdr:col>
          <xdr:colOff>327660</xdr:colOff>
          <xdr:row>58</xdr:row>
          <xdr:rowOff>220980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68580</xdr:rowOff>
        </xdr:from>
        <xdr:to>
          <xdr:col>1</xdr:col>
          <xdr:colOff>327660</xdr:colOff>
          <xdr:row>59</xdr:row>
          <xdr:rowOff>220980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68580</xdr:rowOff>
        </xdr:from>
        <xdr:to>
          <xdr:col>1</xdr:col>
          <xdr:colOff>327660</xdr:colOff>
          <xdr:row>61</xdr:row>
          <xdr:rowOff>220980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68580</xdr:rowOff>
        </xdr:from>
        <xdr:to>
          <xdr:col>1</xdr:col>
          <xdr:colOff>327660</xdr:colOff>
          <xdr:row>64</xdr:row>
          <xdr:rowOff>220980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68580</xdr:rowOff>
        </xdr:from>
        <xdr:to>
          <xdr:col>1</xdr:col>
          <xdr:colOff>327660</xdr:colOff>
          <xdr:row>65</xdr:row>
          <xdr:rowOff>220980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68580</xdr:rowOff>
        </xdr:from>
        <xdr:to>
          <xdr:col>1</xdr:col>
          <xdr:colOff>327660</xdr:colOff>
          <xdr:row>66</xdr:row>
          <xdr:rowOff>220980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68580</xdr:rowOff>
        </xdr:from>
        <xdr:to>
          <xdr:col>1</xdr:col>
          <xdr:colOff>327660</xdr:colOff>
          <xdr:row>67</xdr:row>
          <xdr:rowOff>220980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68580</xdr:rowOff>
        </xdr:from>
        <xdr:to>
          <xdr:col>1</xdr:col>
          <xdr:colOff>327660</xdr:colOff>
          <xdr:row>68</xdr:row>
          <xdr:rowOff>220980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68580</xdr:rowOff>
        </xdr:from>
        <xdr:to>
          <xdr:col>1</xdr:col>
          <xdr:colOff>327660</xdr:colOff>
          <xdr:row>71</xdr:row>
          <xdr:rowOff>220980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68580</xdr:rowOff>
        </xdr:from>
        <xdr:to>
          <xdr:col>1</xdr:col>
          <xdr:colOff>327660</xdr:colOff>
          <xdr:row>72</xdr:row>
          <xdr:rowOff>220980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68580</xdr:rowOff>
        </xdr:from>
        <xdr:to>
          <xdr:col>1</xdr:col>
          <xdr:colOff>327660</xdr:colOff>
          <xdr:row>73</xdr:row>
          <xdr:rowOff>220980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68580</xdr:rowOff>
        </xdr:from>
        <xdr:to>
          <xdr:col>1</xdr:col>
          <xdr:colOff>327660</xdr:colOff>
          <xdr:row>75</xdr:row>
          <xdr:rowOff>220980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68580</xdr:rowOff>
        </xdr:from>
        <xdr:to>
          <xdr:col>2</xdr:col>
          <xdr:colOff>327660</xdr:colOff>
          <xdr:row>15</xdr:row>
          <xdr:rowOff>220980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68580</xdr:rowOff>
        </xdr:from>
        <xdr:to>
          <xdr:col>2</xdr:col>
          <xdr:colOff>327660</xdr:colOff>
          <xdr:row>16</xdr:row>
          <xdr:rowOff>220980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68580</xdr:rowOff>
        </xdr:from>
        <xdr:to>
          <xdr:col>2</xdr:col>
          <xdr:colOff>327660</xdr:colOff>
          <xdr:row>19</xdr:row>
          <xdr:rowOff>220980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68580</xdr:rowOff>
        </xdr:from>
        <xdr:to>
          <xdr:col>2</xdr:col>
          <xdr:colOff>327660</xdr:colOff>
          <xdr:row>22</xdr:row>
          <xdr:rowOff>220980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68580</xdr:rowOff>
        </xdr:from>
        <xdr:to>
          <xdr:col>2</xdr:col>
          <xdr:colOff>327660</xdr:colOff>
          <xdr:row>23</xdr:row>
          <xdr:rowOff>220980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68580</xdr:rowOff>
        </xdr:from>
        <xdr:to>
          <xdr:col>2</xdr:col>
          <xdr:colOff>327660</xdr:colOff>
          <xdr:row>24</xdr:row>
          <xdr:rowOff>220980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68580</xdr:rowOff>
        </xdr:from>
        <xdr:to>
          <xdr:col>2</xdr:col>
          <xdr:colOff>327660</xdr:colOff>
          <xdr:row>26</xdr:row>
          <xdr:rowOff>220980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68580</xdr:rowOff>
        </xdr:from>
        <xdr:to>
          <xdr:col>2</xdr:col>
          <xdr:colOff>327660</xdr:colOff>
          <xdr:row>29</xdr:row>
          <xdr:rowOff>220980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68580</xdr:rowOff>
        </xdr:from>
        <xdr:to>
          <xdr:col>2</xdr:col>
          <xdr:colOff>327660</xdr:colOff>
          <xdr:row>30</xdr:row>
          <xdr:rowOff>220980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68580</xdr:rowOff>
        </xdr:from>
        <xdr:to>
          <xdr:col>2</xdr:col>
          <xdr:colOff>327660</xdr:colOff>
          <xdr:row>31</xdr:row>
          <xdr:rowOff>220980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68580</xdr:rowOff>
        </xdr:from>
        <xdr:to>
          <xdr:col>2</xdr:col>
          <xdr:colOff>327660</xdr:colOff>
          <xdr:row>33</xdr:row>
          <xdr:rowOff>220980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68580</xdr:rowOff>
        </xdr:from>
        <xdr:to>
          <xdr:col>2</xdr:col>
          <xdr:colOff>327660</xdr:colOff>
          <xdr:row>36</xdr:row>
          <xdr:rowOff>220980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68580</xdr:rowOff>
        </xdr:from>
        <xdr:to>
          <xdr:col>2</xdr:col>
          <xdr:colOff>327660</xdr:colOff>
          <xdr:row>37</xdr:row>
          <xdr:rowOff>220980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68580</xdr:rowOff>
        </xdr:from>
        <xdr:to>
          <xdr:col>2</xdr:col>
          <xdr:colOff>327660</xdr:colOff>
          <xdr:row>38</xdr:row>
          <xdr:rowOff>220980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68580</xdr:rowOff>
        </xdr:from>
        <xdr:to>
          <xdr:col>2</xdr:col>
          <xdr:colOff>327660</xdr:colOff>
          <xdr:row>40</xdr:row>
          <xdr:rowOff>220980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68580</xdr:rowOff>
        </xdr:from>
        <xdr:to>
          <xdr:col>2</xdr:col>
          <xdr:colOff>327660</xdr:colOff>
          <xdr:row>43</xdr:row>
          <xdr:rowOff>220980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68580</xdr:rowOff>
        </xdr:from>
        <xdr:to>
          <xdr:col>2</xdr:col>
          <xdr:colOff>327660</xdr:colOff>
          <xdr:row>44</xdr:row>
          <xdr:rowOff>220980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68580</xdr:rowOff>
        </xdr:from>
        <xdr:to>
          <xdr:col>2</xdr:col>
          <xdr:colOff>327660</xdr:colOff>
          <xdr:row>45</xdr:row>
          <xdr:rowOff>220980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68580</xdr:rowOff>
        </xdr:from>
        <xdr:to>
          <xdr:col>2</xdr:col>
          <xdr:colOff>327660</xdr:colOff>
          <xdr:row>47</xdr:row>
          <xdr:rowOff>220980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68580</xdr:rowOff>
        </xdr:from>
        <xdr:to>
          <xdr:col>2</xdr:col>
          <xdr:colOff>327660</xdr:colOff>
          <xdr:row>50</xdr:row>
          <xdr:rowOff>220980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68580</xdr:rowOff>
        </xdr:from>
        <xdr:to>
          <xdr:col>2</xdr:col>
          <xdr:colOff>327660</xdr:colOff>
          <xdr:row>51</xdr:row>
          <xdr:rowOff>220980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68580</xdr:rowOff>
        </xdr:from>
        <xdr:to>
          <xdr:col>2</xdr:col>
          <xdr:colOff>327660</xdr:colOff>
          <xdr:row>52</xdr:row>
          <xdr:rowOff>220980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68580</xdr:rowOff>
        </xdr:from>
        <xdr:to>
          <xdr:col>2</xdr:col>
          <xdr:colOff>327660</xdr:colOff>
          <xdr:row>53</xdr:row>
          <xdr:rowOff>220980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68580</xdr:rowOff>
        </xdr:from>
        <xdr:to>
          <xdr:col>2</xdr:col>
          <xdr:colOff>327660</xdr:colOff>
          <xdr:row>54</xdr:row>
          <xdr:rowOff>220980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68580</xdr:rowOff>
        </xdr:from>
        <xdr:to>
          <xdr:col>2</xdr:col>
          <xdr:colOff>327660</xdr:colOff>
          <xdr:row>57</xdr:row>
          <xdr:rowOff>220980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68580</xdr:rowOff>
        </xdr:from>
        <xdr:to>
          <xdr:col>2</xdr:col>
          <xdr:colOff>327660</xdr:colOff>
          <xdr:row>58</xdr:row>
          <xdr:rowOff>220980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68580</xdr:rowOff>
        </xdr:from>
        <xdr:to>
          <xdr:col>2</xdr:col>
          <xdr:colOff>327660</xdr:colOff>
          <xdr:row>59</xdr:row>
          <xdr:rowOff>220980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68580</xdr:rowOff>
        </xdr:from>
        <xdr:to>
          <xdr:col>2</xdr:col>
          <xdr:colOff>327660</xdr:colOff>
          <xdr:row>61</xdr:row>
          <xdr:rowOff>220980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68580</xdr:rowOff>
        </xdr:from>
        <xdr:to>
          <xdr:col>2</xdr:col>
          <xdr:colOff>327660</xdr:colOff>
          <xdr:row>64</xdr:row>
          <xdr:rowOff>220980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68580</xdr:rowOff>
        </xdr:from>
        <xdr:to>
          <xdr:col>2</xdr:col>
          <xdr:colOff>327660</xdr:colOff>
          <xdr:row>65</xdr:row>
          <xdr:rowOff>220980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68580</xdr:rowOff>
        </xdr:from>
        <xdr:to>
          <xdr:col>2</xdr:col>
          <xdr:colOff>327660</xdr:colOff>
          <xdr:row>66</xdr:row>
          <xdr:rowOff>220980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68580</xdr:rowOff>
        </xdr:from>
        <xdr:to>
          <xdr:col>2</xdr:col>
          <xdr:colOff>327660</xdr:colOff>
          <xdr:row>67</xdr:row>
          <xdr:rowOff>220980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68580</xdr:rowOff>
        </xdr:from>
        <xdr:to>
          <xdr:col>2</xdr:col>
          <xdr:colOff>327660</xdr:colOff>
          <xdr:row>68</xdr:row>
          <xdr:rowOff>220980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68580</xdr:rowOff>
        </xdr:from>
        <xdr:to>
          <xdr:col>2</xdr:col>
          <xdr:colOff>327660</xdr:colOff>
          <xdr:row>71</xdr:row>
          <xdr:rowOff>220980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68580</xdr:rowOff>
        </xdr:from>
        <xdr:to>
          <xdr:col>2</xdr:col>
          <xdr:colOff>327660</xdr:colOff>
          <xdr:row>72</xdr:row>
          <xdr:rowOff>220980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68580</xdr:rowOff>
        </xdr:from>
        <xdr:to>
          <xdr:col>2</xdr:col>
          <xdr:colOff>327660</xdr:colOff>
          <xdr:row>73</xdr:row>
          <xdr:rowOff>220980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68580</xdr:rowOff>
        </xdr:from>
        <xdr:to>
          <xdr:col>2</xdr:col>
          <xdr:colOff>327660</xdr:colOff>
          <xdr:row>75</xdr:row>
          <xdr:rowOff>220980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3251200</xdr:colOff>
      <xdr:row>0</xdr:row>
      <xdr:rowOff>0</xdr:rowOff>
    </xdr:from>
    <xdr:to>
      <xdr:col>2</xdr:col>
      <xdr:colOff>40640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1200" y="0"/>
          <a:ext cx="694690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68580</xdr:rowOff>
        </xdr:from>
        <xdr:to>
          <xdr:col>1</xdr:col>
          <xdr:colOff>304800</xdr:colOff>
          <xdr:row>18</xdr:row>
          <xdr:rowOff>251460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68580</xdr:rowOff>
        </xdr:from>
        <xdr:to>
          <xdr:col>2</xdr:col>
          <xdr:colOff>327660</xdr:colOff>
          <xdr:row>18</xdr:row>
          <xdr:rowOff>220980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68580</xdr:rowOff>
        </xdr:from>
        <xdr:to>
          <xdr:col>1</xdr:col>
          <xdr:colOff>320040</xdr:colOff>
          <xdr:row>17</xdr:row>
          <xdr:rowOff>259080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68580</xdr:rowOff>
        </xdr:from>
        <xdr:to>
          <xdr:col>2</xdr:col>
          <xdr:colOff>327660</xdr:colOff>
          <xdr:row>17</xdr:row>
          <xdr:rowOff>220980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68580</xdr:rowOff>
        </xdr:from>
        <xdr:to>
          <xdr:col>1</xdr:col>
          <xdr:colOff>327660</xdr:colOff>
          <xdr:row>25</xdr:row>
          <xdr:rowOff>243840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68580</xdr:rowOff>
        </xdr:from>
        <xdr:to>
          <xdr:col>2</xdr:col>
          <xdr:colOff>327660</xdr:colOff>
          <xdr:row>25</xdr:row>
          <xdr:rowOff>220980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68580</xdr:rowOff>
        </xdr:from>
        <xdr:to>
          <xdr:col>1</xdr:col>
          <xdr:colOff>327660</xdr:colOff>
          <xdr:row>32</xdr:row>
          <xdr:rowOff>220980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68580</xdr:rowOff>
        </xdr:from>
        <xdr:to>
          <xdr:col>2</xdr:col>
          <xdr:colOff>327660</xdr:colOff>
          <xdr:row>32</xdr:row>
          <xdr:rowOff>220980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68580</xdr:rowOff>
        </xdr:from>
        <xdr:to>
          <xdr:col>1</xdr:col>
          <xdr:colOff>327660</xdr:colOff>
          <xdr:row>39</xdr:row>
          <xdr:rowOff>220980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68580</xdr:rowOff>
        </xdr:from>
        <xdr:to>
          <xdr:col>2</xdr:col>
          <xdr:colOff>327660</xdr:colOff>
          <xdr:row>39</xdr:row>
          <xdr:rowOff>220980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68580</xdr:rowOff>
        </xdr:from>
        <xdr:to>
          <xdr:col>1</xdr:col>
          <xdr:colOff>327660</xdr:colOff>
          <xdr:row>46</xdr:row>
          <xdr:rowOff>220980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68580</xdr:rowOff>
        </xdr:from>
        <xdr:to>
          <xdr:col>2</xdr:col>
          <xdr:colOff>327660</xdr:colOff>
          <xdr:row>46</xdr:row>
          <xdr:rowOff>220980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68580</xdr:rowOff>
        </xdr:from>
        <xdr:to>
          <xdr:col>1</xdr:col>
          <xdr:colOff>327660</xdr:colOff>
          <xdr:row>60</xdr:row>
          <xdr:rowOff>220980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68580</xdr:rowOff>
        </xdr:from>
        <xdr:to>
          <xdr:col>2</xdr:col>
          <xdr:colOff>327660</xdr:colOff>
          <xdr:row>60</xdr:row>
          <xdr:rowOff>220980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68580</xdr:rowOff>
        </xdr:from>
        <xdr:to>
          <xdr:col>1</xdr:col>
          <xdr:colOff>327660</xdr:colOff>
          <xdr:row>74</xdr:row>
          <xdr:rowOff>220980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68580</xdr:rowOff>
        </xdr:from>
        <xdr:to>
          <xdr:col>2</xdr:col>
          <xdr:colOff>327660</xdr:colOff>
          <xdr:row>74</xdr:row>
          <xdr:rowOff>220980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68580</xdr:rowOff>
        </xdr:from>
        <xdr:to>
          <xdr:col>1</xdr:col>
          <xdr:colOff>327660</xdr:colOff>
          <xdr:row>15</xdr:row>
          <xdr:rowOff>220980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68580</xdr:rowOff>
        </xdr:from>
        <xdr:to>
          <xdr:col>1</xdr:col>
          <xdr:colOff>320040</xdr:colOff>
          <xdr:row>16</xdr:row>
          <xdr:rowOff>259080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68580</xdr:rowOff>
        </xdr:from>
        <xdr:to>
          <xdr:col>1</xdr:col>
          <xdr:colOff>297180</xdr:colOff>
          <xdr:row>19</xdr:row>
          <xdr:rowOff>259080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68580</xdr:rowOff>
        </xdr:from>
        <xdr:to>
          <xdr:col>1</xdr:col>
          <xdr:colOff>297180</xdr:colOff>
          <xdr:row>22</xdr:row>
          <xdr:rowOff>220980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1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68580</xdr:rowOff>
        </xdr:from>
        <xdr:to>
          <xdr:col>1</xdr:col>
          <xdr:colOff>281940</xdr:colOff>
          <xdr:row>23</xdr:row>
          <xdr:rowOff>243840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1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68580</xdr:rowOff>
        </xdr:from>
        <xdr:to>
          <xdr:col>1</xdr:col>
          <xdr:colOff>327660</xdr:colOff>
          <xdr:row>24</xdr:row>
          <xdr:rowOff>243840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1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68580</xdr:rowOff>
        </xdr:from>
        <xdr:to>
          <xdr:col>1</xdr:col>
          <xdr:colOff>297180</xdr:colOff>
          <xdr:row>26</xdr:row>
          <xdr:rowOff>228600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1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68580</xdr:rowOff>
        </xdr:from>
        <xdr:to>
          <xdr:col>1</xdr:col>
          <xdr:colOff>327660</xdr:colOff>
          <xdr:row>29</xdr:row>
          <xdr:rowOff>220980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1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68580</xdr:rowOff>
        </xdr:from>
        <xdr:to>
          <xdr:col>1</xdr:col>
          <xdr:colOff>327660</xdr:colOff>
          <xdr:row>30</xdr:row>
          <xdr:rowOff>220980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1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68580</xdr:rowOff>
        </xdr:from>
        <xdr:to>
          <xdr:col>1</xdr:col>
          <xdr:colOff>327660</xdr:colOff>
          <xdr:row>31</xdr:row>
          <xdr:rowOff>220980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1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68580</xdr:rowOff>
        </xdr:from>
        <xdr:to>
          <xdr:col>1</xdr:col>
          <xdr:colOff>327660</xdr:colOff>
          <xdr:row>33</xdr:row>
          <xdr:rowOff>220980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1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68580</xdr:rowOff>
        </xdr:from>
        <xdr:to>
          <xdr:col>1</xdr:col>
          <xdr:colOff>327660</xdr:colOff>
          <xdr:row>36</xdr:row>
          <xdr:rowOff>220980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1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68580</xdr:rowOff>
        </xdr:from>
        <xdr:to>
          <xdr:col>1</xdr:col>
          <xdr:colOff>327660</xdr:colOff>
          <xdr:row>37</xdr:row>
          <xdr:rowOff>220980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1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68580</xdr:rowOff>
        </xdr:from>
        <xdr:to>
          <xdr:col>1</xdr:col>
          <xdr:colOff>327660</xdr:colOff>
          <xdr:row>38</xdr:row>
          <xdr:rowOff>220980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1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68580</xdr:rowOff>
        </xdr:from>
        <xdr:to>
          <xdr:col>1</xdr:col>
          <xdr:colOff>327660</xdr:colOff>
          <xdr:row>40</xdr:row>
          <xdr:rowOff>220980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1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68580</xdr:rowOff>
        </xdr:from>
        <xdr:to>
          <xdr:col>1</xdr:col>
          <xdr:colOff>327660</xdr:colOff>
          <xdr:row>43</xdr:row>
          <xdr:rowOff>220980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1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68580</xdr:rowOff>
        </xdr:from>
        <xdr:to>
          <xdr:col>1</xdr:col>
          <xdr:colOff>327660</xdr:colOff>
          <xdr:row>44</xdr:row>
          <xdr:rowOff>220980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1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68580</xdr:rowOff>
        </xdr:from>
        <xdr:to>
          <xdr:col>1</xdr:col>
          <xdr:colOff>327660</xdr:colOff>
          <xdr:row>45</xdr:row>
          <xdr:rowOff>220980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1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68580</xdr:rowOff>
        </xdr:from>
        <xdr:to>
          <xdr:col>1</xdr:col>
          <xdr:colOff>327660</xdr:colOff>
          <xdr:row>47</xdr:row>
          <xdr:rowOff>220980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1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68580</xdr:rowOff>
        </xdr:from>
        <xdr:to>
          <xdr:col>1</xdr:col>
          <xdr:colOff>327660</xdr:colOff>
          <xdr:row>50</xdr:row>
          <xdr:rowOff>220980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1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68580</xdr:rowOff>
        </xdr:from>
        <xdr:to>
          <xdr:col>1</xdr:col>
          <xdr:colOff>327660</xdr:colOff>
          <xdr:row>51</xdr:row>
          <xdr:rowOff>220980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1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68580</xdr:rowOff>
        </xdr:from>
        <xdr:to>
          <xdr:col>1</xdr:col>
          <xdr:colOff>327660</xdr:colOff>
          <xdr:row>52</xdr:row>
          <xdr:rowOff>220980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1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68580</xdr:rowOff>
        </xdr:from>
        <xdr:to>
          <xdr:col>1</xdr:col>
          <xdr:colOff>327660</xdr:colOff>
          <xdr:row>53</xdr:row>
          <xdr:rowOff>220980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1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68580</xdr:rowOff>
        </xdr:from>
        <xdr:to>
          <xdr:col>1</xdr:col>
          <xdr:colOff>327660</xdr:colOff>
          <xdr:row>54</xdr:row>
          <xdr:rowOff>220980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1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68580</xdr:rowOff>
        </xdr:from>
        <xdr:to>
          <xdr:col>1</xdr:col>
          <xdr:colOff>327660</xdr:colOff>
          <xdr:row>57</xdr:row>
          <xdr:rowOff>220980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1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68580</xdr:rowOff>
        </xdr:from>
        <xdr:to>
          <xdr:col>1</xdr:col>
          <xdr:colOff>327660</xdr:colOff>
          <xdr:row>58</xdr:row>
          <xdr:rowOff>220980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1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68580</xdr:rowOff>
        </xdr:from>
        <xdr:to>
          <xdr:col>1</xdr:col>
          <xdr:colOff>327660</xdr:colOff>
          <xdr:row>59</xdr:row>
          <xdr:rowOff>220980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1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68580</xdr:rowOff>
        </xdr:from>
        <xdr:to>
          <xdr:col>1</xdr:col>
          <xdr:colOff>327660</xdr:colOff>
          <xdr:row>61</xdr:row>
          <xdr:rowOff>220980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1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68580</xdr:rowOff>
        </xdr:from>
        <xdr:to>
          <xdr:col>1</xdr:col>
          <xdr:colOff>327660</xdr:colOff>
          <xdr:row>64</xdr:row>
          <xdr:rowOff>220980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1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68580</xdr:rowOff>
        </xdr:from>
        <xdr:to>
          <xdr:col>1</xdr:col>
          <xdr:colOff>327660</xdr:colOff>
          <xdr:row>65</xdr:row>
          <xdr:rowOff>220980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1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68580</xdr:rowOff>
        </xdr:from>
        <xdr:to>
          <xdr:col>1</xdr:col>
          <xdr:colOff>327660</xdr:colOff>
          <xdr:row>66</xdr:row>
          <xdr:rowOff>220980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1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68580</xdr:rowOff>
        </xdr:from>
        <xdr:to>
          <xdr:col>1</xdr:col>
          <xdr:colOff>327660</xdr:colOff>
          <xdr:row>67</xdr:row>
          <xdr:rowOff>220980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1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68580</xdr:rowOff>
        </xdr:from>
        <xdr:to>
          <xdr:col>1</xdr:col>
          <xdr:colOff>327660</xdr:colOff>
          <xdr:row>68</xdr:row>
          <xdr:rowOff>220980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1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68580</xdr:rowOff>
        </xdr:from>
        <xdr:to>
          <xdr:col>1</xdr:col>
          <xdr:colOff>327660</xdr:colOff>
          <xdr:row>71</xdr:row>
          <xdr:rowOff>220980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1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68580</xdr:rowOff>
        </xdr:from>
        <xdr:to>
          <xdr:col>1</xdr:col>
          <xdr:colOff>327660</xdr:colOff>
          <xdr:row>72</xdr:row>
          <xdr:rowOff>220980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1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68580</xdr:rowOff>
        </xdr:from>
        <xdr:to>
          <xdr:col>1</xdr:col>
          <xdr:colOff>327660</xdr:colOff>
          <xdr:row>73</xdr:row>
          <xdr:rowOff>220980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1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68580</xdr:rowOff>
        </xdr:from>
        <xdr:to>
          <xdr:col>1</xdr:col>
          <xdr:colOff>327660</xdr:colOff>
          <xdr:row>75</xdr:row>
          <xdr:rowOff>220980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1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68580</xdr:rowOff>
        </xdr:from>
        <xdr:to>
          <xdr:col>2</xdr:col>
          <xdr:colOff>327660</xdr:colOff>
          <xdr:row>15</xdr:row>
          <xdr:rowOff>220980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1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68580</xdr:rowOff>
        </xdr:from>
        <xdr:to>
          <xdr:col>2</xdr:col>
          <xdr:colOff>327660</xdr:colOff>
          <xdr:row>16</xdr:row>
          <xdr:rowOff>220980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1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68580</xdr:rowOff>
        </xdr:from>
        <xdr:to>
          <xdr:col>2</xdr:col>
          <xdr:colOff>327660</xdr:colOff>
          <xdr:row>19</xdr:row>
          <xdr:rowOff>220980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1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68580</xdr:rowOff>
        </xdr:from>
        <xdr:to>
          <xdr:col>2</xdr:col>
          <xdr:colOff>327660</xdr:colOff>
          <xdr:row>22</xdr:row>
          <xdr:rowOff>220980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1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68580</xdr:rowOff>
        </xdr:from>
        <xdr:to>
          <xdr:col>2</xdr:col>
          <xdr:colOff>327660</xdr:colOff>
          <xdr:row>23</xdr:row>
          <xdr:rowOff>220980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1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68580</xdr:rowOff>
        </xdr:from>
        <xdr:to>
          <xdr:col>2</xdr:col>
          <xdr:colOff>327660</xdr:colOff>
          <xdr:row>24</xdr:row>
          <xdr:rowOff>220980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1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68580</xdr:rowOff>
        </xdr:from>
        <xdr:to>
          <xdr:col>2</xdr:col>
          <xdr:colOff>327660</xdr:colOff>
          <xdr:row>26</xdr:row>
          <xdr:rowOff>220980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1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68580</xdr:rowOff>
        </xdr:from>
        <xdr:to>
          <xdr:col>2</xdr:col>
          <xdr:colOff>327660</xdr:colOff>
          <xdr:row>29</xdr:row>
          <xdr:rowOff>220980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1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68580</xdr:rowOff>
        </xdr:from>
        <xdr:to>
          <xdr:col>2</xdr:col>
          <xdr:colOff>327660</xdr:colOff>
          <xdr:row>30</xdr:row>
          <xdr:rowOff>220980</xdr:rowOff>
        </xdr:to>
        <xdr:sp macro="" textlink="">
          <xdr:nvSpPr>
            <xdr:cNvPr id="7214" name="Check Box 46" hidden="1">
              <a:extLst>
                <a:ext uri="{63B3BB69-23CF-44E3-9099-C40C66FF867C}">
                  <a14:compatExt spid="_x0000_s7214"/>
                </a:ext>
                <a:ext uri="{FF2B5EF4-FFF2-40B4-BE49-F238E27FC236}">
                  <a16:creationId xmlns:a16="http://schemas.microsoft.com/office/drawing/2014/main" id="{00000000-0008-0000-0100-00002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68580</xdr:rowOff>
        </xdr:from>
        <xdr:to>
          <xdr:col>2</xdr:col>
          <xdr:colOff>327660</xdr:colOff>
          <xdr:row>31</xdr:row>
          <xdr:rowOff>220980</xdr:rowOff>
        </xdr:to>
        <xdr:sp macro="" textlink="">
          <xdr:nvSpPr>
            <xdr:cNvPr id="7215" name="Check Box 47" hidden="1">
              <a:extLst>
                <a:ext uri="{63B3BB69-23CF-44E3-9099-C40C66FF867C}">
                  <a14:compatExt spid="_x0000_s7215"/>
                </a:ext>
                <a:ext uri="{FF2B5EF4-FFF2-40B4-BE49-F238E27FC236}">
                  <a16:creationId xmlns:a16="http://schemas.microsoft.com/office/drawing/2014/main" id="{00000000-0008-0000-0100-00002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68580</xdr:rowOff>
        </xdr:from>
        <xdr:to>
          <xdr:col>2</xdr:col>
          <xdr:colOff>327660</xdr:colOff>
          <xdr:row>33</xdr:row>
          <xdr:rowOff>220980</xdr:rowOff>
        </xdr:to>
        <xdr:sp macro="" textlink="">
          <xdr:nvSpPr>
            <xdr:cNvPr id="7216" name="Check Box 48" hidden="1">
              <a:extLst>
                <a:ext uri="{63B3BB69-23CF-44E3-9099-C40C66FF867C}">
                  <a14:compatExt spid="_x0000_s7216"/>
                </a:ext>
                <a:ext uri="{FF2B5EF4-FFF2-40B4-BE49-F238E27FC236}">
                  <a16:creationId xmlns:a16="http://schemas.microsoft.com/office/drawing/2014/main" id="{00000000-0008-0000-0100-00003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68580</xdr:rowOff>
        </xdr:from>
        <xdr:to>
          <xdr:col>2</xdr:col>
          <xdr:colOff>327660</xdr:colOff>
          <xdr:row>36</xdr:row>
          <xdr:rowOff>220980</xdr:rowOff>
        </xdr:to>
        <xdr:sp macro="" textlink="">
          <xdr:nvSpPr>
            <xdr:cNvPr id="7217" name="Check Box 49" hidden="1">
              <a:extLst>
                <a:ext uri="{63B3BB69-23CF-44E3-9099-C40C66FF867C}">
                  <a14:compatExt spid="_x0000_s7217"/>
                </a:ext>
                <a:ext uri="{FF2B5EF4-FFF2-40B4-BE49-F238E27FC236}">
                  <a16:creationId xmlns:a16="http://schemas.microsoft.com/office/drawing/2014/main" id="{00000000-0008-0000-0100-00003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68580</xdr:rowOff>
        </xdr:from>
        <xdr:to>
          <xdr:col>2</xdr:col>
          <xdr:colOff>327660</xdr:colOff>
          <xdr:row>37</xdr:row>
          <xdr:rowOff>220980</xdr:rowOff>
        </xdr:to>
        <xdr:sp macro="" textlink="">
          <xdr:nvSpPr>
            <xdr:cNvPr id="7218" name="Check Box 50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00000000-0008-0000-0100-00003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68580</xdr:rowOff>
        </xdr:from>
        <xdr:to>
          <xdr:col>2</xdr:col>
          <xdr:colOff>327660</xdr:colOff>
          <xdr:row>38</xdr:row>
          <xdr:rowOff>220980</xdr:rowOff>
        </xdr:to>
        <xdr:sp macro="" textlink="">
          <xdr:nvSpPr>
            <xdr:cNvPr id="7219" name="Check Box 51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00000000-0008-0000-0100-00003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68580</xdr:rowOff>
        </xdr:from>
        <xdr:to>
          <xdr:col>2</xdr:col>
          <xdr:colOff>327660</xdr:colOff>
          <xdr:row>40</xdr:row>
          <xdr:rowOff>220980</xdr:rowOff>
        </xdr:to>
        <xdr:sp macro="" textlink="">
          <xdr:nvSpPr>
            <xdr:cNvPr id="7220" name="Check Box 52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00000000-0008-0000-0100-00003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68580</xdr:rowOff>
        </xdr:from>
        <xdr:to>
          <xdr:col>2</xdr:col>
          <xdr:colOff>327660</xdr:colOff>
          <xdr:row>43</xdr:row>
          <xdr:rowOff>220980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1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68580</xdr:rowOff>
        </xdr:from>
        <xdr:to>
          <xdr:col>2</xdr:col>
          <xdr:colOff>327660</xdr:colOff>
          <xdr:row>44</xdr:row>
          <xdr:rowOff>220980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1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68580</xdr:rowOff>
        </xdr:from>
        <xdr:to>
          <xdr:col>2</xdr:col>
          <xdr:colOff>327660</xdr:colOff>
          <xdr:row>45</xdr:row>
          <xdr:rowOff>220980</xdr:rowOff>
        </xdr:to>
        <xdr:sp macro="" textlink="">
          <xdr:nvSpPr>
            <xdr:cNvPr id="7223" name="Check Box 55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00000000-0008-0000-0100-00003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68580</xdr:rowOff>
        </xdr:from>
        <xdr:to>
          <xdr:col>2</xdr:col>
          <xdr:colOff>327660</xdr:colOff>
          <xdr:row>47</xdr:row>
          <xdr:rowOff>220980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1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68580</xdr:rowOff>
        </xdr:from>
        <xdr:to>
          <xdr:col>2</xdr:col>
          <xdr:colOff>327660</xdr:colOff>
          <xdr:row>50</xdr:row>
          <xdr:rowOff>220980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1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68580</xdr:rowOff>
        </xdr:from>
        <xdr:to>
          <xdr:col>2</xdr:col>
          <xdr:colOff>327660</xdr:colOff>
          <xdr:row>51</xdr:row>
          <xdr:rowOff>220980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1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68580</xdr:rowOff>
        </xdr:from>
        <xdr:to>
          <xdr:col>2</xdr:col>
          <xdr:colOff>327660</xdr:colOff>
          <xdr:row>52</xdr:row>
          <xdr:rowOff>220980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1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68580</xdr:rowOff>
        </xdr:from>
        <xdr:to>
          <xdr:col>2</xdr:col>
          <xdr:colOff>327660</xdr:colOff>
          <xdr:row>53</xdr:row>
          <xdr:rowOff>220980</xdr:rowOff>
        </xdr:to>
        <xdr:sp macro="" textlink="">
          <xdr:nvSpPr>
            <xdr:cNvPr id="7228" name="Check Box 60" hidden="1">
              <a:extLst>
                <a:ext uri="{63B3BB69-23CF-44E3-9099-C40C66FF867C}">
                  <a14:compatExt spid="_x0000_s7228"/>
                </a:ext>
                <a:ext uri="{FF2B5EF4-FFF2-40B4-BE49-F238E27FC236}">
                  <a16:creationId xmlns:a16="http://schemas.microsoft.com/office/drawing/2014/main" id="{00000000-0008-0000-0100-00003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68580</xdr:rowOff>
        </xdr:from>
        <xdr:to>
          <xdr:col>2</xdr:col>
          <xdr:colOff>327660</xdr:colOff>
          <xdr:row>54</xdr:row>
          <xdr:rowOff>220980</xdr:rowOff>
        </xdr:to>
        <xdr:sp macro="" textlink="">
          <xdr:nvSpPr>
            <xdr:cNvPr id="7229" name="Check Box 61" hidden="1">
              <a:extLst>
                <a:ext uri="{63B3BB69-23CF-44E3-9099-C40C66FF867C}">
                  <a14:compatExt spid="_x0000_s7229"/>
                </a:ext>
                <a:ext uri="{FF2B5EF4-FFF2-40B4-BE49-F238E27FC236}">
                  <a16:creationId xmlns:a16="http://schemas.microsoft.com/office/drawing/2014/main" id="{00000000-0008-0000-0100-00003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68580</xdr:rowOff>
        </xdr:from>
        <xdr:to>
          <xdr:col>2</xdr:col>
          <xdr:colOff>327660</xdr:colOff>
          <xdr:row>57</xdr:row>
          <xdr:rowOff>220980</xdr:rowOff>
        </xdr:to>
        <xdr:sp macro="" textlink="">
          <xdr:nvSpPr>
            <xdr:cNvPr id="7230" name="Check Box 62" hidden="1">
              <a:extLst>
                <a:ext uri="{63B3BB69-23CF-44E3-9099-C40C66FF867C}">
                  <a14:compatExt spid="_x0000_s7230"/>
                </a:ext>
                <a:ext uri="{FF2B5EF4-FFF2-40B4-BE49-F238E27FC236}">
                  <a16:creationId xmlns:a16="http://schemas.microsoft.com/office/drawing/2014/main" id="{00000000-0008-0000-0100-00003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68580</xdr:rowOff>
        </xdr:from>
        <xdr:to>
          <xdr:col>2</xdr:col>
          <xdr:colOff>327660</xdr:colOff>
          <xdr:row>58</xdr:row>
          <xdr:rowOff>220980</xdr:rowOff>
        </xdr:to>
        <xdr:sp macro="" textlink="">
          <xdr:nvSpPr>
            <xdr:cNvPr id="7231" name="Check Box 63" hidden="1">
              <a:extLst>
                <a:ext uri="{63B3BB69-23CF-44E3-9099-C40C66FF867C}">
                  <a14:compatExt spid="_x0000_s7231"/>
                </a:ext>
                <a:ext uri="{FF2B5EF4-FFF2-40B4-BE49-F238E27FC236}">
                  <a16:creationId xmlns:a16="http://schemas.microsoft.com/office/drawing/2014/main" id="{00000000-0008-0000-0100-0000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68580</xdr:rowOff>
        </xdr:from>
        <xdr:to>
          <xdr:col>2</xdr:col>
          <xdr:colOff>327660</xdr:colOff>
          <xdr:row>59</xdr:row>
          <xdr:rowOff>220980</xdr:rowOff>
        </xdr:to>
        <xdr:sp macro="" textlink="">
          <xdr:nvSpPr>
            <xdr:cNvPr id="7232" name="Check Box 64" hidden="1">
              <a:extLst>
                <a:ext uri="{63B3BB69-23CF-44E3-9099-C40C66FF867C}">
                  <a14:compatExt spid="_x0000_s7232"/>
                </a:ext>
                <a:ext uri="{FF2B5EF4-FFF2-40B4-BE49-F238E27FC236}">
                  <a16:creationId xmlns:a16="http://schemas.microsoft.com/office/drawing/2014/main" id="{00000000-0008-0000-0100-00004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68580</xdr:rowOff>
        </xdr:from>
        <xdr:to>
          <xdr:col>2</xdr:col>
          <xdr:colOff>327660</xdr:colOff>
          <xdr:row>61</xdr:row>
          <xdr:rowOff>220980</xdr:rowOff>
        </xdr:to>
        <xdr:sp macro="" textlink="">
          <xdr:nvSpPr>
            <xdr:cNvPr id="7233" name="Check Box 65" hidden="1">
              <a:extLst>
                <a:ext uri="{63B3BB69-23CF-44E3-9099-C40C66FF867C}">
                  <a14:compatExt spid="_x0000_s7233"/>
                </a:ext>
                <a:ext uri="{FF2B5EF4-FFF2-40B4-BE49-F238E27FC236}">
                  <a16:creationId xmlns:a16="http://schemas.microsoft.com/office/drawing/2014/main" id="{00000000-0008-0000-0100-00004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68580</xdr:rowOff>
        </xdr:from>
        <xdr:to>
          <xdr:col>2</xdr:col>
          <xdr:colOff>327660</xdr:colOff>
          <xdr:row>64</xdr:row>
          <xdr:rowOff>220980</xdr:rowOff>
        </xdr:to>
        <xdr:sp macro="" textlink="">
          <xdr:nvSpPr>
            <xdr:cNvPr id="7234" name="Check Box 66" hidden="1">
              <a:extLst>
                <a:ext uri="{63B3BB69-23CF-44E3-9099-C40C66FF867C}">
                  <a14:compatExt spid="_x0000_s7234"/>
                </a:ext>
                <a:ext uri="{FF2B5EF4-FFF2-40B4-BE49-F238E27FC236}">
                  <a16:creationId xmlns:a16="http://schemas.microsoft.com/office/drawing/2014/main" id="{00000000-0008-0000-0100-00004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68580</xdr:rowOff>
        </xdr:from>
        <xdr:to>
          <xdr:col>2</xdr:col>
          <xdr:colOff>327660</xdr:colOff>
          <xdr:row>65</xdr:row>
          <xdr:rowOff>220980</xdr:rowOff>
        </xdr:to>
        <xdr:sp macro="" textlink="">
          <xdr:nvSpPr>
            <xdr:cNvPr id="7235" name="Check Box 67" hidden="1">
              <a:extLst>
                <a:ext uri="{63B3BB69-23CF-44E3-9099-C40C66FF867C}">
                  <a14:compatExt spid="_x0000_s7235"/>
                </a:ext>
                <a:ext uri="{FF2B5EF4-FFF2-40B4-BE49-F238E27FC236}">
                  <a16:creationId xmlns:a16="http://schemas.microsoft.com/office/drawing/2014/main" id="{00000000-0008-0000-0100-00004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68580</xdr:rowOff>
        </xdr:from>
        <xdr:to>
          <xdr:col>2</xdr:col>
          <xdr:colOff>327660</xdr:colOff>
          <xdr:row>66</xdr:row>
          <xdr:rowOff>220980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0000000-0008-0000-0100-00004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68580</xdr:rowOff>
        </xdr:from>
        <xdr:to>
          <xdr:col>2</xdr:col>
          <xdr:colOff>327660</xdr:colOff>
          <xdr:row>67</xdr:row>
          <xdr:rowOff>220980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1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68580</xdr:rowOff>
        </xdr:from>
        <xdr:to>
          <xdr:col>2</xdr:col>
          <xdr:colOff>327660</xdr:colOff>
          <xdr:row>68</xdr:row>
          <xdr:rowOff>220980</xdr:rowOff>
        </xdr:to>
        <xdr:sp macro="" textlink="">
          <xdr:nvSpPr>
            <xdr:cNvPr id="7238" name="Check Box 70" hidden="1">
              <a:extLst>
                <a:ext uri="{63B3BB69-23CF-44E3-9099-C40C66FF867C}">
                  <a14:compatExt spid="_x0000_s7238"/>
                </a:ext>
                <a:ext uri="{FF2B5EF4-FFF2-40B4-BE49-F238E27FC236}">
                  <a16:creationId xmlns:a16="http://schemas.microsoft.com/office/drawing/2014/main" id="{00000000-0008-0000-0100-00004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68580</xdr:rowOff>
        </xdr:from>
        <xdr:to>
          <xdr:col>2</xdr:col>
          <xdr:colOff>327660</xdr:colOff>
          <xdr:row>71</xdr:row>
          <xdr:rowOff>220980</xdr:rowOff>
        </xdr:to>
        <xdr:sp macro="" textlink="">
          <xdr:nvSpPr>
            <xdr:cNvPr id="7239" name="Check Box 71" hidden="1">
              <a:extLst>
                <a:ext uri="{63B3BB69-23CF-44E3-9099-C40C66FF867C}">
                  <a14:compatExt spid="_x0000_s7239"/>
                </a:ext>
                <a:ext uri="{FF2B5EF4-FFF2-40B4-BE49-F238E27FC236}">
                  <a16:creationId xmlns:a16="http://schemas.microsoft.com/office/drawing/2014/main" id="{00000000-0008-0000-0100-00004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68580</xdr:rowOff>
        </xdr:from>
        <xdr:to>
          <xdr:col>2</xdr:col>
          <xdr:colOff>327660</xdr:colOff>
          <xdr:row>72</xdr:row>
          <xdr:rowOff>220980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1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68580</xdr:rowOff>
        </xdr:from>
        <xdr:to>
          <xdr:col>2</xdr:col>
          <xdr:colOff>327660</xdr:colOff>
          <xdr:row>73</xdr:row>
          <xdr:rowOff>220980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1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68580</xdr:rowOff>
        </xdr:from>
        <xdr:to>
          <xdr:col>2</xdr:col>
          <xdr:colOff>327660</xdr:colOff>
          <xdr:row>75</xdr:row>
          <xdr:rowOff>220980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1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1</xdr:col>
      <xdr:colOff>408940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694690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68580</xdr:rowOff>
        </xdr:from>
        <xdr:to>
          <xdr:col>1</xdr:col>
          <xdr:colOff>304800</xdr:colOff>
          <xdr:row>18</xdr:row>
          <xdr:rowOff>251460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1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68580</xdr:rowOff>
        </xdr:from>
        <xdr:to>
          <xdr:col>2</xdr:col>
          <xdr:colOff>327660</xdr:colOff>
          <xdr:row>18</xdr:row>
          <xdr:rowOff>220980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1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68580</xdr:rowOff>
        </xdr:from>
        <xdr:to>
          <xdr:col>1</xdr:col>
          <xdr:colOff>320040</xdr:colOff>
          <xdr:row>17</xdr:row>
          <xdr:rowOff>259080</xdr:rowOff>
        </xdr:to>
        <xdr:sp macro="" textlink="">
          <xdr:nvSpPr>
            <xdr:cNvPr id="7245" name="Check Box 77" hidden="1">
              <a:extLst>
                <a:ext uri="{63B3BB69-23CF-44E3-9099-C40C66FF867C}">
                  <a14:compatExt spid="_x0000_s7245"/>
                </a:ext>
                <a:ext uri="{FF2B5EF4-FFF2-40B4-BE49-F238E27FC236}">
                  <a16:creationId xmlns:a16="http://schemas.microsoft.com/office/drawing/2014/main" id="{00000000-0008-0000-0100-00004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68580</xdr:rowOff>
        </xdr:from>
        <xdr:to>
          <xdr:col>2</xdr:col>
          <xdr:colOff>327660</xdr:colOff>
          <xdr:row>17</xdr:row>
          <xdr:rowOff>220980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1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68580</xdr:rowOff>
        </xdr:from>
        <xdr:to>
          <xdr:col>1</xdr:col>
          <xdr:colOff>327660</xdr:colOff>
          <xdr:row>25</xdr:row>
          <xdr:rowOff>243840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1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68580</xdr:rowOff>
        </xdr:from>
        <xdr:to>
          <xdr:col>2</xdr:col>
          <xdr:colOff>327660</xdr:colOff>
          <xdr:row>25</xdr:row>
          <xdr:rowOff>220980</xdr:rowOff>
        </xdr:to>
        <xdr:sp macro="" textlink="">
          <xdr:nvSpPr>
            <xdr:cNvPr id="7248" name="Check Box 80" hidden="1">
              <a:extLst>
                <a:ext uri="{63B3BB69-23CF-44E3-9099-C40C66FF867C}">
                  <a14:compatExt spid="_x0000_s7248"/>
                </a:ext>
                <a:ext uri="{FF2B5EF4-FFF2-40B4-BE49-F238E27FC236}">
                  <a16:creationId xmlns:a16="http://schemas.microsoft.com/office/drawing/2014/main" id="{00000000-0008-0000-0100-00005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68580</xdr:rowOff>
        </xdr:from>
        <xdr:to>
          <xdr:col>1</xdr:col>
          <xdr:colOff>327660</xdr:colOff>
          <xdr:row>32</xdr:row>
          <xdr:rowOff>220980</xdr:rowOff>
        </xdr:to>
        <xdr:sp macro="" textlink="">
          <xdr:nvSpPr>
            <xdr:cNvPr id="7249" name="Check Box 81" hidden="1">
              <a:extLst>
                <a:ext uri="{63B3BB69-23CF-44E3-9099-C40C66FF867C}">
                  <a14:compatExt spid="_x0000_s7249"/>
                </a:ext>
                <a:ext uri="{FF2B5EF4-FFF2-40B4-BE49-F238E27FC236}">
                  <a16:creationId xmlns:a16="http://schemas.microsoft.com/office/drawing/2014/main" id="{00000000-0008-0000-0100-00005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68580</xdr:rowOff>
        </xdr:from>
        <xdr:to>
          <xdr:col>2</xdr:col>
          <xdr:colOff>327660</xdr:colOff>
          <xdr:row>32</xdr:row>
          <xdr:rowOff>220980</xdr:rowOff>
        </xdr:to>
        <xdr:sp macro="" textlink="">
          <xdr:nvSpPr>
            <xdr:cNvPr id="7250" name="Check Box 82" hidden="1">
              <a:extLst>
                <a:ext uri="{63B3BB69-23CF-44E3-9099-C40C66FF867C}">
                  <a14:compatExt spid="_x0000_s7250"/>
                </a:ext>
                <a:ext uri="{FF2B5EF4-FFF2-40B4-BE49-F238E27FC236}">
                  <a16:creationId xmlns:a16="http://schemas.microsoft.com/office/drawing/2014/main" id="{00000000-0008-0000-0100-00005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68580</xdr:rowOff>
        </xdr:from>
        <xdr:to>
          <xdr:col>1</xdr:col>
          <xdr:colOff>327660</xdr:colOff>
          <xdr:row>39</xdr:row>
          <xdr:rowOff>220980</xdr:rowOff>
        </xdr:to>
        <xdr:sp macro="" textlink="">
          <xdr:nvSpPr>
            <xdr:cNvPr id="7251" name="Check Box 83" hidden="1">
              <a:extLst>
                <a:ext uri="{63B3BB69-23CF-44E3-9099-C40C66FF867C}">
                  <a14:compatExt spid="_x0000_s7251"/>
                </a:ext>
                <a:ext uri="{FF2B5EF4-FFF2-40B4-BE49-F238E27FC236}">
                  <a16:creationId xmlns:a16="http://schemas.microsoft.com/office/drawing/2014/main" id="{00000000-0008-0000-0100-00005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68580</xdr:rowOff>
        </xdr:from>
        <xdr:to>
          <xdr:col>2</xdr:col>
          <xdr:colOff>327660</xdr:colOff>
          <xdr:row>39</xdr:row>
          <xdr:rowOff>220980</xdr:rowOff>
        </xdr:to>
        <xdr:sp macro="" textlink="">
          <xdr:nvSpPr>
            <xdr:cNvPr id="7252" name="Check Box 84" hidden="1">
              <a:extLst>
                <a:ext uri="{63B3BB69-23CF-44E3-9099-C40C66FF867C}">
                  <a14:compatExt spid="_x0000_s7252"/>
                </a:ext>
                <a:ext uri="{FF2B5EF4-FFF2-40B4-BE49-F238E27FC236}">
                  <a16:creationId xmlns:a16="http://schemas.microsoft.com/office/drawing/2014/main" id="{00000000-0008-0000-0100-00005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68580</xdr:rowOff>
        </xdr:from>
        <xdr:to>
          <xdr:col>1</xdr:col>
          <xdr:colOff>327660</xdr:colOff>
          <xdr:row>46</xdr:row>
          <xdr:rowOff>220980</xdr:rowOff>
        </xdr:to>
        <xdr:sp macro="" textlink="">
          <xdr:nvSpPr>
            <xdr:cNvPr id="7253" name="Check Box 85" hidden="1">
              <a:extLst>
                <a:ext uri="{63B3BB69-23CF-44E3-9099-C40C66FF867C}">
                  <a14:compatExt spid="_x0000_s7253"/>
                </a:ext>
                <a:ext uri="{FF2B5EF4-FFF2-40B4-BE49-F238E27FC236}">
                  <a16:creationId xmlns:a16="http://schemas.microsoft.com/office/drawing/2014/main" id="{00000000-0008-0000-0100-00005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68580</xdr:rowOff>
        </xdr:from>
        <xdr:to>
          <xdr:col>2</xdr:col>
          <xdr:colOff>327660</xdr:colOff>
          <xdr:row>46</xdr:row>
          <xdr:rowOff>220980</xdr:rowOff>
        </xdr:to>
        <xdr:sp macro="" textlink="">
          <xdr:nvSpPr>
            <xdr:cNvPr id="7254" name="Check Box 86" hidden="1">
              <a:extLst>
                <a:ext uri="{63B3BB69-23CF-44E3-9099-C40C66FF867C}">
                  <a14:compatExt spid="_x0000_s7254"/>
                </a:ext>
                <a:ext uri="{FF2B5EF4-FFF2-40B4-BE49-F238E27FC236}">
                  <a16:creationId xmlns:a16="http://schemas.microsoft.com/office/drawing/2014/main" id="{00000000-0008-0000-0100-00005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68580</xdr:rowOff>
        </xdr:from>
        <xdr:to>
          <xdr:col>1</xdr:col>
          <xdr:colOff>327660</xdr:colOff>
          <xdr:row>60</xdr:row>
          <xdr:rowOff>220980</xdr:rowOff>
        </xdr:to>
        <xdr:sp macro="" textlink="">
          <xdr:nvSpPr>
            <xdr:cNvPr id="7255" name="Check Box 87" hidden="1">
              <a:extLst>
                <a:ext uri="{63B3BB69-23CF-44E3-9099-C40C66FF867C}">
                  <a14:compatExt spid="_x0000_s7255"/>
                </a:ext>
                <a:ext uri="{FF2B5EF4-FFF2-40B4-BE49-F238E27FC236}">
                  <a16:creationId xmlns:a16="http://schemas.microsoft.com/office/drawing/2014/main" id="{00000000-0008-0000-0100-00005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68580</xdr:rowOff>
        </xdr:from>
        <xdr:to>
          <xdr:col>2</xdr:col>
          <xdr:colOff>327660</xdr:colOff>
          <xdr:row>60</xdr:row>
          <xdr:rowOff>220980</xdr:rowOff>
        </xdr:to>
        <xdr:sp macro="" textlink="">
          <xdr:nvSpPr>
            <xdr:cNvPr id="7256" name="Check Box 88" hidden="1">
              <a:extLst>
                <a:ext uri="{63B3BB69-23CF-44E3-9099-C40C66FF867C}">
                  <a14:compatExt spid="_x0000_s7256"/>
                </a:ext>
                <a:ext uri="{FF2B5EF4-FFF2-40B4-BE49-F238E27FC236}">
                  <a16:creationId xmlns:a16="http://schemas.microsoft.com/office/drawing/2014/main" id="{00000000-0008-0000-0100-00005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68580</xdr:rowOff>
        </xdr:from>
        <xdr:to>
          <xdr:col>1</xdr:col>
          <xdr:colOff>327660</xdr:colOff>
          <xdr:row>74</xdr:row>
          <xdr:rowOff>220980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0000000-0008-0000-0100-00005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68580</xdr:rowOff>
        </xdr:from>
        <xdr:to>
          <xdr:col>2</xdr:col>
          <xdr:colOff>327660</xdr:colOff>
          <xdr:row>74</xdr:row>
          <xdr:rowOff>220980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00000000-0008-0000-0100-00005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68580</xdr:rowOff>
        </xdr:from>
        <xdr:to>
          <xdr:col>1</xdr:col>
          <xdr:colOff>327660</xdr:colOff>
          <xdr:row>15</xdr:row>
          <xdr:rowOff>220980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68580</xdr:rowOff>
        </xdr:from>
        <xdr:to>
          <xdr:col>1</xdr:col>
          <xdr:colOff>320040</xdr:colOff>
          <xdr:row>16</xdr:row>
          <xdr:rowOff>259080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2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68580</xdr:rowOff>
        </xdr:from>
        <xdr:to>
          <xdr:col>1</xdr:col>
          <xdr:colOff>297180</xdr:colOff>
          <xdr:row>19</xdr:row>
          <xdr:rowOff>259080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2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68580</xdr:rowOff>
        </xdr:from>
        <xdr:to>
          <xdr:col>1</xdr:col>
          <xdr:colOff>297180</xdr:colOff>
          <xdr:row>22</xdr:row>
          <xdr:rowOff>220980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2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68580</xdr:rowOff>
        </xdr:from>
        <xdr:to>
          <xdr:col>1</xdr:col>
          <xdr:colOff>281940</xdr:colOff>
          <xdr:row>23</xdr:row>
          <xdr:rowOff>243840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2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68580</xdr:rowOff>
        </xdr:from>
        <xdr:to>
          <xdr:col>1</xdr:col>
          <xdr:colOff>327660</xdr:colOff>
          <xdr:row>24</xdr:row>
          <xdr:rowOff>243840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2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68580</xdr:rowOff>
        </xdr:from>
        <xdr:to>
          <xdr:col>1</xdr:col>
          <xdr:colOff>297180</xdr:colOff>
          <xdr:row>26</xdr:row>
          <xdr:rowOff>228600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2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68580</xdr:rowOff>
        </xdr:from>
        <xdr:to>
          <xdr:col>1</xdr:col>
          <xdr:colOff>327660</xdr:colOff>
          <xdr:row>29</xdr:row>
          <xdr:rowOff>220980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2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68580</xdr:rowOff>
        </xdr:from>
        <xdr:to>
          <xdr:col>1</xdr:col>
          <xdr:colOff>327660</xdr:colOff>
          <xdr:row>30</xdr:row>
          <xdr:rowOff>220980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2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68580</xdr:rowOff>
        </xdr:from>
        <xdr:to>
          <xdr:col>1</xdr:col>
          <xdr:colOff>327660</xdr:colOff>
          <xdr:row>31</xdr:row>
          <xdr:rowOff>220980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2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68580</xdr:rowOff>
        </xdr:from>
        <xdr:to>
          <xdr:col>1</xdr:col>
          <xdr:colOff>327660</xdr:colOff>
          <xdr:row>33</xdr:row>
          <xdr:rowOff>220980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2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68580</xdr:rowOff>
        </xdr:from>
        <xdr:to>
          <xdr:col>1</xdr:col>
          <xdr:colOff>327660</xdr:colOff>
          <xdr:row>36</xdr:row>
          <xdr:rowOff>220980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2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68580</xdr:rowOff>
        </xdr:from>
        <xdr:to>
          <xdr:col>1</xdr:col>
          <xdr:colOff>327660</xdr:colOff>
          <xdr:row>37</xdr:row>
          <xdr:rowOff>220980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2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68580</xdr:rowOff>
        </xdr:from>
        <xdr:to>
          <xdr:col>1</xdr:col>
          <xdr:colOff>327660</xdr:colOff>
          <xdr:row>38</xdr:row>
          <xdr:rowOff>220980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2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68580</xdr:rowOff>
        </xdr:from>
        <xdr:to>
          <xdr:col>1</xdr:col>
          <xdr:colOff>327660</xdr:colOff>
          <xdr:row>40</xdr:row>
          <xdr:rowOff>220980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2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68580</xdr:rowOff>
        </xdr:from>
        <xdr:to>
          <xdr:col>1</xdr:col>
          <xdr:colOff>327660</xdr:colOff>
          <xdr:row>43</xdr:row>
          <xdr:rowOff>220980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2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68580</xdr:rowOff>
        </xdr:from>
        <xdr:to>
          <xdr:col>1</xdr:col>
          <xdr:colOff>327660</xdr:colOff>
          <xdr:row>44</xdr:row>
          <xdr:rowOff>220980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2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68580</xdr:rowOff>
        </xdr:from>
        <xdr:to>
          <xdr:col>1</xdr:col>
          <xdr:colOff>327660</xdr:colOff>
          <xdr:row>45</xdr:row>
          <xdr:rowOff>220980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2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68580</xdr:rowOff>
        </xdr:from>
        <xdr:to>
          <xdr:col>1</xdr:col>
          <xdr:colOff>327660</xdr:colOff>
          <xdr:row>47</xdr:row>
          <xdr:rowOff>220980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2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68580</xdr:rowOff>
        </xdr:from>
        <xdr:to>
          <xdr:col>1</xdr:col>
          <xdr:colOff>327660</xdr:colOff>
          <xdr:row>50</xdr:row>
          <xdr:rowOff>220980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2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68580</xdr:rowOff>
        </xdr:from>
        <xdr:to>
          <xdr:col>1</xdr:col>
          <xdr:colOff>327660</xdr:colOff>
          <xdr:row>51</xdr:row>
          <xdr:rowOff>220980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2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68580</xdr:rowOff>
        </xdr:from>
        <xdr:to>
          <xdr:col>1</xdr:col>
          <xdr:colOff>327660</xdr:colOff>
          <xdr:row>52</xdr:row>
          <xdr:rowOff>220980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2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68580</xdr:rowOff>
        </xdr:from>
        <xdr:to>
          <xdr:col>1</xdr:col>
          <xdr:colOff>327660</xdr:colOff>
          <xdr:row>53</xdr:row>
          <xdr:rowOff>220980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2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68580</xdr:rowOff>
        </xdr:from>
        <xdr:to>
          <xdr:col>1</xdr:col>
          <xdr:colOff>327660</xdr:colOff>
          <xdr:row>54</xdr:row>
          <xdr:rowOff>220980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2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68580</xdr:rowOff>
        </xdr:from>
        <xdr:to>
          <xdr:col>1</xdr:col>
          <xdr:colOff>327660</xdr:colOff>
          <xdr:row>57</xdr:row>
          <xdr:rowOff>220980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2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68580</xdr:rowOff>
        </xdr:from>
        <xdr:to>
          <xdr:col>1</xdr:col>
          <xdr:colOff>327660</xdr:colOff>
          <xdr:row>58</xdr:row>
          <xdr:rowOff>220980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2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68580</xdr:rowOff>
        </xdr:from>
        <xdr:to>
          <xdr:col>1</xdr:col>
          <xdr:colOff>327660</xdr:colOff>
          <xdr:row>59</xdr:row>
          <xdr:rowOff>220980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2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68580</xdr:rowOff>
        </xdr:from>
        <xdr:to>
          <xdr:col>1</xdr:col>
          <xdr:colOff>327660</xdr:colOff>
          <xdr:row>61</xdr:row>
          <xdr:rowOff>220980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2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68580</xdr:rowOff>
        </xdr:from>
        <xdr:to>
          <xdr:col>1</xdr:col>
          <xdr:colOff>327660</xdr:colOff>
          <xdr:row>64</xdr:row>
          <xdr:rowOff>220980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2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68580</xdr:rowOff>
        </xdr:from>
        <xdr:to>
          <xdr:col>1</xdr:col>
          <xdr:colOff>327660</xdr:colOff>
          <xdr:row>65</xdr:row>
          <xdr:rowOff>220980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2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68580</xdr:rowOff>
        </xdr:from>
        <xdr:to>
          <xdr:col>1</xdr:col>
          <xdr:colOff>327660</xdr:colOff>
          <xdr:row>66</xdr:row>
          <xdr:rowOff>220980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2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68580</xdr:rowOff>
        </xdr:from>
        <xdr:to>
          <xdr:col>1</xdr:col>
          <xdr:colOff>327660</xdr:colOff>
          <xdr:row>67</xdr:row>
          <xdr:rowOff>220980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2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68580</xdr:rowOff>
        </xdr:from>
        <xdr:to>
          <xdr:col>1</xdr:col>
          <xdr:colOff>327660</xdr:colOff>
          <xdr:row>68</xdr:row>
          <xdr:rowOff>220980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2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68580</xdr:rowOff>
        </xdr:from>
        <xdr:to>
          <xdr:col>1</xdr:col>
          <xdr:colOff>327660</xdr:colOff>
          <xdr:row>71</xdr:row>
          <xdr:rowOff>220980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2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68580</xdr:rowOff>
        </xdr:from>
        <xdr:to>
          <xdr:col>1</xdr:col>
          <xdr:colOff>327660</xdr:colOff>
          <xdr:row>72</xdr:row>
          <xdr:rowOff>220980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2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68580</xdr:rowOff>
        </xdr:from>
        <xdr:to>
          <xdr:col>1</xdr:col>
          <xdr:colOff>327660</xdr:colOff>
          <xdr:row>73</xdr:row>
          <xdr:rowOff>220980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2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68580</xdr:rowOff>
        </xdr:from>
        <xdr:to>
          <xdr:col>1</xdr:col>
          <xdr:colOff>327660</xdr:colOff>
          <xdr:row>75</xdr:row>
          <xdr:rowOff>220980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2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68580</xdr:rowOff>
        </xdr:from>
        <xdr:to>
          <xdr:col>2</xdr:col>
          <xdr:colOff>327660</xdr:colOff>
          <xdr:row>15</xdr:row>
          <xdr:rowOff>220980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2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68580</xdr:rowOff>
        </xdr:from>
        <xdr:to>
          <xdr:col>2</xdr:col>
          <xdr:colOff>327660</xdr:colOff>
          <xdr:row>16</xdr:row>
          <xdr:rowOff>220980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2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68580</xdr:rowOff>
        </xdr:from>
        <xdr:to>
          <xdr:col>2</xdr:col>
          <xdr:colOff>327660</xdr:colOff>
          <xdr:row>19</xdr:row>
          <xdr:rowOff>220980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2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68580</xdr:rowOff>
        </xdr:from>
        <xdr:to>
          <xdr:col>2</xdr:col>
          <xdr:colOff>327660</xdr:colOff>
          <xdr:row>22</xdr:row>
          <xdr:rowOff>220980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2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68580</xdr:rowOff>
        </xdr:from>
        <xdr:to>
          <xdr:col>2</xdr:col>
          <xdr:colOff>327660</xdr:colOff>
          <xdr:row>23</xdr:row>
          <xdr:rowOff>220980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2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68580</xdr:rowOff>
        </xdr:from>
        <xdr:to>
          <xdr:col>2</xdr:col>
          <xdr:colOff>327660</xdr:colOff>
          <xdr:row>24</xdr:row>
          <xdr:rowOff>220980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2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68580</xdr:rowOff>
        </xdr:from>
        <xdr:to>
          <xdr:col>2</xdr:col>
          <xdr:colOff>327660</xdr:colOff>
          <xdr:row>26</xdr:row>
          <xdr:rowOff>220980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2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68580</xdr:rowOff>
        </xdr:from>
        <xdr:to>
          <xdr:col>2</xdr:col>
          <xdr:colOff>327660</xdr:colOff>
          <xdr:row>29</xdr:row>
          <xdr:rowOff>220980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2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68580</xdr:rowOff>
        </xdr:from>
        <xdr:to>
          <xdr:col>2</xdr:col>
          <xdr:colOff>327660</xdr:colOff>
          <xdr:row>30</xdr:row>
          <xdr:rowOff>220980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2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68580</xdr:rowOff>
        </xdr:from>
        <xdr:to>
          <xdr:col>2</xdr:col>
          <xdr:colOff>327660</xdr:colOff>
          <xdr:row>31</xdr:row>
          <xdr:rowOff>220980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2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68580</xdr:rowOff>
        </xdr:from>
        <xdr:to>
          <xdr:col>2</xdr:col>
          <xdr:colOff>327660</xdr:colOff>
          <xdr:row>33</xdr:row>
          <xdr:rowOff>220980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2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68580</xdr:rowOff>
        </xdr:from>
        <xdr:to>
          <xdr:col>2</xdr:col>
          <xdr:colOff>327660</xdr:colOff>
          <xdr:row>36</xdr:row>
          <xdr:rowOff>220980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2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68580</xdr:rowOff>
        </xdr:from>
        <xdr:to>
          <xdr:col>2</xdr:col>
          <xdr:colOff>327660</xdr:colOff>
          <xdr:row>37</xdr:row>
          <xdr:rowOff>220980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2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68580</xdr:rowOff>
        </xdr:from>
        <xdr:to>
          <xdr:col>2</xdr:col>
          <xdr:colOff>327660</xdr:colOff>
          <xdr:row>38</xdr:row>
          <xdr:rowOff>220980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00000000-0008-0000-0200-00003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68580</xdr:rowOff>
        </xdr:from>
        <xdr:to>
          <xdr:col>2</xdr:col>
          <xdr:colOff>327660</xdr:colOff>
          <xdr:row>40</xdr:row>
          <xdr:rowOff>220980</xdr:rowOff>
        </xdr:to>
        <xdr:sp macro="" textlink="">
          <xdr:nvSpPr>
            <xdr:cNvPr id="8244" name="Check Box 52" hidden="1">
              <a:extLst>
                <a:ext uri="{63B3BB69-23CF-44E3-9099-C40C66FF867C}">
                  <a14:compatExt spid="_x0000_s8244"/>
                </a:ext>
                <a:ext uri="{FF2B5EF4-FFF2-40B4-BE49-F238E27FC236}">
                  <a16:creationId xmlns:a16="http://schemas.microsoft.com/office/drawing/2014/main" id="{00000000-0008-0000-0200-00003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68580</xdr:rowOff>
        </xdr:from>
        <xdr:to>
          <xdr:col>2</xdr:col>
          <xdr:colOff>327660</xdr:colOff>
          <xdr:row>43</xdr:row>
          <xdr:rowOff>220980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  <a:ext uri="{FF2B5EF4-FFF2-40B4-BE49-F238E27FC236}">
                  <a16:creationId xmlns:a16="http://schemas.microsoft.com/office/drawing/2014/main" id="{00000000-0008-0000-0200-00003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68580</xdr:rowOff>
        </xdr:from>
        <xdr:to>
          <xdr:col>2</xdr:col>
          <xdr:colOff>327660</xdr:colOff>
          <xdr:row>44</xdr:row>
          <xdr:rowOff>220980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2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68580</xdr:rowOff>
        </xdr:from>
        <xdr:to>
          <xdr:col>2</xdr:col>
          <xdr:colOff>327660</xdr:colOff>
          <xdr:row>45</xdr:row>
          <xdr:rowOff>220980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2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68580</xdr:rowOff>
        </xdr:from>
        <xdr:to>
          <xdr:col>2</xdr:col>
          <xdr:colOff>327660</xdr:colOff>
          <xdr:row>47</xdr:row>
          <xdr:rowOff>220980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2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68580</xdr:rowOff>
        </xdr:from>
        <xdr:to>
          <xdr:col>2</xdr:col>
          <xdr:colOff>327660</xdr:colOff>
          <xdr:row>50</xdr:row>
          <xdr:rowOff>220980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2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68580</xdr:rowOff>
        </xdr:from>
        <xdr:to>
          <xdr:col>2</xdr:col>
          <xdr:colOff>327660</xdr:colOff>
          <xdr:row>51</xdr:row>
          <xdr:rowOff>220980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2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68580</xdr:rowOff>
        </xdr:from>
        <xdr:to>
          <xdr:col>2</xdr:col>
          <xdr:colOff>327660</xdr:colOff>
          <xdr:row>52</xdr:row>
          <xdr:rowOff>220980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2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68580</xdr:rowOff>
        </xdr:from>
        <xdr:to>
          <xdr:col>2</xdr:col>
          <xdr:colOff>327660</xdr:colOff>
          <xdr:row>53</xdr:row>
          <xdr:rowOff>220980</xdr:rowOff>
        </xdr:to>
        <xdr:sp macro="" textlink="">
          <xdr:nvSpPr>
            <xdr:cNvPr id="8252" name="Check Box 60" hidden="1">
              <a:extLst>
                <a:ext uri="{63B3BB69-23CF-44E3-9099-C40C66FF867C}">
                  <a14:compatExt spid="_x0000_s8252"/>
                </a:ext>
                <a:ext uri="{FF2B5EF4-FFF2-40B4-BE49-F238E27FC236}">
                  <a16:creationId xmlns:a16="http://schemas.microsoft.com/office/drawing/2014/main" id="{00000000-0008-0000-0200-00003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68580</xdr:rowOff>
        </xdr:from>
        <xdr:to>
          <xdr:col>2</xdr:col>
          <xdr:colOff>327660</xdr:colOff>
          <xdr:row>54</xdr:row>
          <xdr:rowOff>220980</xdr:rowOff>
        </xdr:to>
        <xdr:sp macro="" textlink="">
          <xdr:nvSpPr>
            <xdr:cNvPr id="8253" name="Check Box 61" hidden="1">
              <a:extLst>
                <a:ext uri="{63B3BB69-23CF-44E3-9099-C40C66FF867C}">
                  <a14:compatExt spid="_x0000_s8253"/>
                </a:ext>
                <a:ext uri="{FF2B5EF4-FFF2-40B4-BE49-F238E27FC236}">
                  <a16:creationId xmlns:a16="http://schemas.microsoft.com/office/drawing/2014/main" id="{00000000-0008-0000-0200-00003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68580</xdr:rowOff>
        </xdr:from>
        <xdr:to>
          <xdr:col>2</xdr:col>
          <xdr:colOff>327660</xdr:colOff>
          <xdr:row>57</xdr:row>
          <xdr:rowOff>220980</xdr:rowOff>
        </xdr:to>
        <xdr:sp macro="" textlink="">
          <xdr:nvSpPr>
            <xdr:cNvPr id="8254" name="Check Box 62" hidden="1">
              <a:extLst>
                <a:ext uri="{63B3BB69-23CF-44E3-9099-C40C66FF867C}">
                  <a14:compatExt spid="_x0000_s8254"/>
                </a:ext>
                <a:ext uri="{FF2B5EF4-FFF2-40B4-BE49-F238E27FC236}">
                  <a16:creationId xmlns:a16="http://schemas.microsoft.com/office/drawing/2014/main" id="{00000000-0008-0000-0200-00003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68580</xdr:rowOff>
        </xdr:from>
        <xdr:to>
          <xdr:col>2</xdr:col>
          <xdr:colOff>327660</xdr:colOff>
          <xdr:row>58</xdr:row>
          <xdr:rowOff>220980</xdr:rowOff>
        </xdr:to>
        <xdr:sp macro="" textlink="">
          <xdr:nvSpPr>
            <xdr:cNvPr id="8255" name="Check Box 63" hidden="1">
              <a:extLst>
                <a:ext uri="{63B3BB69-23CF-44E3-9099-C40C66FF867C}">
                  <a14:compatExt spid="_x0000_s8255"/>
                </a:ext>
                <a:ext uri="{FF2B5EF4-FFF2-40B4-BE49-F238E27FC236}">
                  <a16:creationId xmlns:a16="http://schemas.microsoft.com/office/drawing/2014/main" id="{00000000-0008-0000-0200-00003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68580</xdr:rowOff>
        </xdr:from>
        <xdr:to>
          <xdr:col>2</xdr:col>
          <xdr:colOff>327660</xdr:colOff>
          <xdr:row>59</xdr:row>
          <xdr:rowOff>220980</xdr:rowOff>
        </xdr:to>
        <xdr:sp macro="" textlink="">
          <xdr:nvSpPr>
            <xdr:cNvPr id="8256" name="Check Box 64" hidden="1">
              <a:extLst>
                <a:ext uri="{63B3BB69-23CF-44E3-9099-C40C66FF867C}">
                  <a14:compatExt spid="_x0000_s8256"/>
                </a:ext>
                <a:ext uri="{FF2B5EF4-FFF2-40B4-BE49-F238E27FC236}">
                  <a16:creationId xmlns:a16="http://schemas.microsoft.com/office/drawing/2014/main" id="{00000000-0008-0000-0200-00004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68580</xdr:rowOff>
        </xdr:from>
        <xdr:to>
          <xdr:col>2</xdr:col>
          <xdr:colOff>327660</xdr:colOff>
          <xdr:row>61</xdr:row>
          <xdr:rowOff>220980</xdr:rowOff>
        </xdr:to>
        <xdr:sp macro="" textlink="">
          <xdr:nvSpPr>
            <xdr:cNvPr id="8257" name="Check Box 65" hidden="1">
              <a:extLst>
                <a:ext uri="{63B3BB69-23CF-44E3-9099-C40C66FF867C}">
                  <a14:compatExt spid="_x0000_s8257"/>
                </a:ext>
                <a:ext uri="{FF2B5EF4-FFF2-40B4-BE49-F238E27FC236}">
                  <a16:creationId xmlns:a16="http://schemas.microsoft.com/office/drawing/2014/main" id="{00000000-0008-0000-0200-00004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68580</xdr:rowOff>
        </xdr:from>
        <xdr:to>
          <xdr:col>2</xdr:col>
          <xdr:colOff>327660</xdr:colOff>
          <xdr:row>64</xdr:row>
          <xdr:rowOff>220980</xdr:rowOff>
        </xdr:to>
        <xdr:sp macro="" textlink="">
          <xdr:nvSpPr>
            <xdr:cNvPr id="8258" name="Check Box 66" hidden="1">
              <a:extLst>
                <a:ext uri="{63B3BB69-23CF-44E3-9099-C40C66FF867C}">
                  <a14:compatExt spid="_x0000_s8258"/>
                </a:ext>
                <a:ext uri="{FF2B5EF4-FFF2-40B4-BE49-F238E27FC236}">
                  <a16:creationId xmlns:a16="http://schemas.microsoft.com/office/drawing/2014/main" id="{00000000-0008-0000-0200-00004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68580</xdr:rowOff>
        </xdr:from>
        <xdr:to>
          <xdr:col>2</xdr:col>
          <xdr:colOff>327660</xdr:colOff>
          <xdr:row>65</xdr:row>
          <xdr:rowOff>220980</xdr:rowOff>
        </xdr:to>
        <xdr:sp macro="" textlink="">
          <xdr:nvSpPr>
            <xdr:cNvPr id="8259" name="Check Box 67" hidden="1">
              <a:extLst>
                <a:ext uri="{63B3BB69-23CF-44E3-9099-C40C66FF867C}">
                  <a14:compatExt spid="_x0000_s8259"/>
                </a:ext>
                <a:ext uri="{FF2B5EF4-FFF2-40B4-BE49-F238E27FC236}">
                  <a16:creationId xmlns:a16="http://schemas.microsoft.com/office/drawing/2014/main" id="{00000000-0008-0000-0200-00004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68580</xdr:rowOff>
        </xdr:from>
        <xdr:to>
          <xdr:col>2</xdr:col>
          <xdr:colOff>327660</xdr:colOff>
          <xdr:row>66</xdr:row>
          <xdr:rowOff>220980</xdr:rowOff>
        </xdr:to>
        <xdr:sp macro="" textlink="">
          <xdr:nvSpPr>
            <xdr:cNvPr id="8260" name="Check Box 68" hidden="1">
              <a:extLst>
                <a:ext uri="{63B3BB69-23CF-44E3-9099-C40C66FF867C}">
                  <a14:compatExt spid="_x0000_s8260"/>
                </a:ext>
                <a:ext uri="{FF2B5EF4-FFF2-40B4-BE49-F238E27FC236}">
                  <a16:creationId xmlns:a16="http://schemas.microsoft.com/office/drawing/2014/main" id="{00000000-0008-0000-0200-00004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68580</xdr:rowOff>
        </xdr:from>
        <xdr:to>
          <xdr:col>2</xdr:col>
          <xdr:colOff>327660</xdr:colOff>
          <xdr:row>67</xdr:row>
          <xdr:rowOff>220980</xdr:rowOff>
        </xdr:to>
        <xdr:sp macro="" textlink="">
          <xdr:nvSpPr>
            <xdr:cNvPr id="8261" name="Check Box 69" hidden="1">
              <a:extLst>
                <a:ext uri="{63B3BB69-23CF-44E3-9099-C40C66FF867C}">
                  <a14:compatExt spid="_x0000_s8261"/>
                </a:ext>
                <a:ext uri="{FF2B5EF4-FFF2-40B4-BE49-F238E27FC236}">
                  <a16:creationId xmlns:a16="http://schemas.microsoft.com/office/drawing/2014/main" id="{00000000-0008-0000-0200-00004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68580</xdr:rowOff>
        </xdr:from>
        <xdr:to>
          <xdr:col>2</xdr:col>
          <xdr:colOff>327660</xdr:colOff>
          <xdr:row>68</xdr:row>
          <xdr:rowOff>220980</xdr:rowOff>
        </xdr:to>
        <xdr:sp macro="" textlink="">
          <xdr:nvSpPr>
            <xdr:cNvPr id="8262" name="Check Box 70" hidden="1">
              <a:extLst>
                <a:ext uri="{63B3BB69-23CF-44E3-9099-C40C66FF867C}">
                  <a14:compatExt spid="_x0000_s8262"/>
                </a:ext>
                <a:ext uri="{FF2B5EF4-FFF2-40B4-BE49-F238E27FC236}">
                  <a16:creationId xmlns:a16="http://schemas.microsoft.com/office/drawing/2014/main" id="{00000000-0008-0000-0200-00004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68580</xdr:rowOff>
        </xdr:from>
        <xdr:to>
          <xdr:col>2</xdr:col>
          <xdr:colOff>327660</xdr:colOff>
          <xdr:row>71</xdr:row>
          <xdr:rowOff>220980</xdr:rowOff>
        </xdr:to>
        <xdr:sp macro="" textlink="">
          <xdr:nvSpPr>
            <xdr:cNvPr id="8263" name="Check Box 71" hidden="1">
              <a:extLst>
                <a:ext uri="{63B3BB69-23CF-44E3-9099-C40C66FF867C}">
                  <a14:compatExt spid="_x0000_s8263"/>
                </a:ext>
                <a:ext uri="{FF2B5EF4-FFF2-40B4-BE49-F238E27FC236}">
                  <a16:creationId xmlns:a16="http://schemas.microsoft.com/office/drawing/2014/main" id="{00000000-0008-0000-0200-00004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68580</xdr:rowOff>
        </xdr:from>
        <xdr:to>
          <xdr:col>2</xdr:col>
          <xdr:colOff>327660</xdr:colOff>
          <xdr:row>72</xdr:row>
          <xdr:rowOff>220980</xdr:rowOff>
        </xdr:to>
        <xdr:sp macro="" textlink="">
          <xdr:nvSpPr>
            <xdr:cNvPr id="8264" name="Check Box 72" hidden="1">
              <a:extLst>
                <a:ext uri="{63B3BB69-23CF-44E3-9099-C40C66FF867C}">
                  <a14:compatExt spid="_x0000_s8264"/>
                </a:ext>
                <a:ext uri="{FF2B5EF4-FFF2-40B4-BE49-F238E27FC236}">
                  <a16:creationId xmlns:a16="http://schemas.microsoft.com/office/drawing/2014/main" id="{00000000-0008-0000-0200-00004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68580</xdr:rowOff>
        </xdr:from>
        <xdr:to>
          <xdr:col>2</xdr:col>
          <xdr:colOff>327660</xdr:colOff>
          <xdr:row>73</xdr:row>
          <xdr:rowOff>220980</xdr:rowOff>
        </xdr:to>
        <xdr:sp macro="" textlink="">
          <xdr:nvSpPr>
            <xdr:cNvPr id="8265" name="Check Box 73" hidden="1">
              <a:extLst>
                <a:ext uri="{63B3BB69-23CF-44E3-9099-C40C66FF867C}">
                  <a14:compatExt spid="_x0000_s8265"/>
                </a:ext>
                <a:ext uri="{FF2B5EF4-FFF2-40B4-BE49-F238E27FC236}">
                  <a16:creationId xmlns:a16="http://schemas.microsoft.com/office/drawing/2014/main" id="{00000000-0008-0000-0200-00004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68580</xdr:rowOff>
        </xdr:from>
        <xdr:to>
          <xdr:col>2</xdr:col>
          <xdr:colOff>327660</xdr:colOff>
          <xdr:row>75</xdr:row>
          <xdr:rowOff>220980</xdr:rowOff>
        </xdr:to>
        <xdr:sp macro="" textlink="">
          <xdr:nvSpPr>
            <xdr:cNvPr id="8266" name="Check Box 74" hidden="1">
              <a:extLst>
                <a:ext uri="{63B3BB69-23CF-44E3-9099-C40C66FF867C}">
                  <a14:compatExt spid="_x0000_s8266"/>
                </a:ext>
                <a:ext uri="{FF2B5EF4-FFF2-40B4-BE49-F238E27FC236}">
                  <a16:creationId xmlns:a16="http://schemas.microsoft.com/office/drawing/2014/main" id="{00000000-0008-0000-0200-00004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1</xdr:col>
      <xdr:colOff>389890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694690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68580</xdr:rowOff>
        </xdr:from>
        <xdr:to>
          <xdr:col>1</xdr:col>
          <xdr:colOff>304800</xdr:colOff>
          <xdr:row>18</xdr:row>
          <xdr:rowOff>251460</xdr:rowOff>
        </xdr:to>
        <xdr:sp macro="" textlink="">
          <xdr:nvSpPr>
            <xdr:cNvPr id="8267" name="Check Box 75" hidden="1">
              <a:extLst>
                <a:ext uri="{63B3BB69-23CF-44E3-9099-C40C66FF867C}">
                  <a14:compatExt spid="_x0000_s8267"/>
                </a:ext>
                <a:ext uri="{FF2B5EF4-FFF2-40B4-BE49-F238E27FC236}">
                  <a16:creationId xmlns:a16="http://schemas.microsoft.com/office/drawing/2014/main" id="{00000000-0008-0000-0200-00004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68580</xdr:rowOff>
        </xdr:from>
        <xdr:to>
          <xdr:col>2</xdr:col>
          <xdr:colOff>327660</xdr:colOff>
          <xdr:row>18</xdr:row>
          <xdr:rowOff>220980</xdr:rowOff>
        </xdr:to>
        <xdr:sp macro="" textlink="">
          <xdr:nvSpPr>
            <xdr:cNvPr id="8268" name="Check Box 76" hidden="1">
              <a:extLst>
                <a:ext uri="{63B3BB69-23CF-44E3-9099-C40C66FF867C}">
                  <a14:compatExt spid="_x0000_s8268"/>
                </a:ext>
                <a:ext uri="{FF2B5EF4-FFF2-40B4-BE49-F238E27FC236}">
                  <a16:creationId xmlns:a16="http://schemas.microsoft.com/office/drawing/2014/main" id="{00000000-0008-0000-0200-00004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68580</xdr:rowOff>
        </xdr:from>
        <xdr:to>
          <xdr:col>1</xdr:col>
          <xdr:colOff>320040</xdr:colOff>
          <xdr:row>17</xdr:row>
          <xdr:rowOff>259080</xdr:rowOff>
        </xdr:to>
        <xdr:sp macro="" textlink="">
          <xdr:nvSpPr>
            <xdr:cNvPr id="8269" name="Check Box 77" hidden="1">
              <a:extLst>
                <a:ext uri="{63B3BB69-23CF-44E3-9099-C40C66FF867C}">
                  <a14:compatExt spid="_x0000_s8269"/>
                </a:ext>
                <a:ext uri="{FF2B5EF4-FFF2-40B4-BE49-F238E27FC236}">
                  <a16:creationId xmlns:a16="http://schemas.microsoft.com/office/drawing/2014/main" id="{00000000-0008-0000-0200-00004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68580</xdr:rowOff>
        </xdr:from>
        <xdr:to>
          <xdr:col>2</xdr:col>
          <xdr:colOff>327660</xdr:colOff>
          <xdr:row>17</xdr:row>
          <xdr:rowOff>220980</xdr:rowOff>
        </xdr:to>
        <xdr:sp macro="" textlink="">
          <xdr:nvSpPr>
            <xdr:cNvPr id="8270" name="Check Box 78" hidden="1">
              <a:extLst>
                <a:ext uri="{63B3BB69-23CF-44E3-9099-C40C66FF867C}">
                  <a14:compatExt spid="_x0000_s8270"/>
                </a:ext>
                <a:ext uri="{FF2B5EF4-FFF2-40B4-BE49-F238E27FC236}">
                  <a16:creationId xmlns:a16="http://schemas.microsoft.com/office/drawing/2014/main" id="{00000000-0008-0000-0200-00004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68580</xdr:rowOff>
        </xdr:from>
        <xdr:to>
          <xdr:col>1</xdr:col>
          <xdr:colOff>327660</xdr:colOff>
          <xdr:row>25</xdr:row>
          <xdr:rowOff>243840</xdr:rowOff>
        </xdr:to>
        <xdr:sp macro="" textlink="">
          <xdr:nvSpPr>
            <xdr:cNvPr id="8271" name="Check Box 79" hidden="1">
              <a:extLst>
                <a:ext uri="{63B3BB69-23CF-44E3-9099-C40C66FF867C}">
                  <a14:compatExt spid="_x0000_s8271"/>
                </a:ext>
                <a:ext uri="{FF2B5EF4-FFF2-40B4-BE49-F238E27FC236}">
                  <a16:creationId xmlns:a16="http://schemas.microsoft.com/office/drawing/2014/main" id="{00000000-0008-0000-0200-00004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68580</xdr:rowOff>
        </xdr:from>
        <xdr:to>
          <xdr:col>2</xdr:col>
          <xdr:colOff>327660</xdr:colOff>
          <xdr:row>25</xdr:row>
          <xdr:rowOff>220980</xdr:rowOff>
        </xdr:to>
        <xdr:sp macro="" textlink="">
          <xdr:nvSpPr>
            <xdr:cNvPr id="8272" name="Check Box 80" hidden="1">
              <a:extLst>
                <a:ext uri="{63B3BB69-23CF-44E3-9099-C40C66FF867C}">
                  <a14:compatExt spid="_x0000_s8272"/>
                </a:ext>
                <a:ext uri="{FF2B5EF4-FFF2-40B4-BE49-F238E27FC236}">
                  <a16:creationId xmlns:a16="http://schemas.microsoft.com/office/drawing/2014/main" id="{00000000-0008-0000-0200-00005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68580</xdr:rowOff>
        </xdr:from>
        <xdr:to>
          <xdr:col>1</xdr:col>
          <xdr:colOff>327660</xdr:colOff>
          <xdr:row>32</xdr:row>
          <xdr:rowOff>220980</xdr:rowOff>
        </xdr:to>
        <xdr:sp macro="" textlink="">
          <xdr:nvSpPr>
            <xdr:cNvPr id="8273" name="Check Box 81" hidden="1">
              <a:extLst>
                <a:ext uri="{63B3BB69-23CF-44E3-9099-C40C66FF867C}">
                  <a14:compatExt spid="_x0000_s8273"/>
                </a:ext>
                <a:ext uri="{FF2B5EF4-FFF2-40B4-BE49-F238E27FC236}">
                  <a16:creationId xmlns:a16="http://schemas.microsoft.com/office/drawing/2014/main" id="{00000000-0008-0000-0200-00005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68580</xdr:rowOff>
        </xdr:from>
        <xdr:to>
          <xdr:col>2</xdr:col>
          <xdr:colOff>327660</xdr:colOff>
          <xdr:row>32</xdr:row>
          <xdr:rowOff>220980</xdr:rowOff>
        </xdr:to>
        <xdr:sp macro="" textlink="">
          <xdr:nvSpPr>
            <xdr:cNvPr id="8274" name="Check Box 82" hidden="1">
              <a:extLst>
                <a:ext uri="{63B3BB69-23CF-44E3-9099-C40C66FF867C}">
                  <a14:compatExt spid="_x0000_s8274"/>
                </a:ext>
                <a:ext uri="{FF2B5EF4-FFF2-40B4-BE49-F238E27FC236}">
                  <a16:creationId xmlns:a16="http://schemas.microsoft.com/office/drawing/2014/main" id="{00000000-0008-0000-0200-00005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68580</xdr:rowOff>
        </xdr:from>
        <xdr:to>
          <xdr:col>1</xdr:col>
          <xdr:colOff>327660</xdr:colOff>
          <xdr:row>39</xdr:row>
          <xdr:rowOff>220980</xdr:rowOff>
        </xdr:to>
        <xdr:sp macro="" textlink="">
          <xdr:nvSpPr>
            <xdr:cNvPr id="8275" name="Check Box 83" hidden="1">
              <a:extLst>
                <a:ext uri="{63B3BB69-23CF-44E3-9099-C40C66FF867C}">
                  <a14:compatExt spid="_x0000_s8275"/>
                </a:ext>
                <a:ext uri="{FF2B5EF4-FFF2-40B4-BE49-F238E27FC236}">
                  <a16:creationId xmlns:a16="http://schemas.microsoft.com/office/drawing/2014/main" id="{00000000-0008-0000-0200-00005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68580</xdr:rowOff>
        </xdr:from>
        <xdr:to>
          <xdr:col>2</xdr:col>
          <xdr:colOff>327660</xdr:colOff>
          <xdr:row>39</xdr:row>
          <xdr:rowOff>220980</xdr:rowOff>
        </xdr:to>
        <xdr:sp macro="" textlink="">
          <xdr:nvSpPr>
            <xdr:cNvPr id="8276" name="Check Box 84" hidden="1">
              <a:extLst>
                <a:ext uri="{63B3BB69-23CF-44E3-9099-C40C66FF867C}">
                  <a14:compatExt spid="_x0000_s8276"/>
                </a:ext>
                <a:ext uri="{FF2B5EF4-FFF2-40B4-BE49-F238E27FC236}">
                  <a16:creationId xmlns:a16="http://schemas.microsoft.com/office/drawing/2014/main" id="{00000000-0008-0000-0200-00005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68580</xdr:rowOff>
        </xdr:from>
        <xdr:to>
          <xdr:col>1</xdr:col>
          <xdr:colOff>327660</xdr:colOff>
          <xdr:row>46</xdr:row>
          <xdr:rowOff>220980</xdr:rowOff>
        </xdr:to>
        <xdr:sp macro="" textlink="">
          <xdr:nvSpPr>
            <xdr:cNvPr id="8277" name="Check Box 85" hidden="1">
              <a:extLst>
                <a:ext uri="{63B3BB69-23CF-44E3-9099-C40C66FF867C}">
                  <a14:compatExt spid="_x0000_s8277"/>
                </a:ext>
                <a:ext uri="{FF2B5EF4-FFF2-40B4-BE49-F238E27FC236}">
                  <a16:creationId xmlns:a16="http://schemas.microsoft.com/office/drawing/2014/main" id="{00000000-0008-0000-0200-00005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68580</xdr:rowOff>
        </xdr:from>
        <xdr:to>
          <xdr:col>2</xdr:col>
          <xdr:colOff>327660</xdr:colOff>
          <xdr:row>46</xdr:row>
          <xdr:rowOff>220980</xdr:rowOff>
        </xdr:to>
        <xdr:sp macro="" textlink="">
          <xdr:nvSpPr>
            <xdr:cNvPr id="8278" name="Check Box 86" hidden="1">
              <a:extLst>
                <a:ext uri="{63B3BB69-23CF-44E3-9099-C40C66FF867C}">
                  <a14:compatExt spid="_x0000_s8278"/>
                </a:ext>
                <a:ext uri="{FF2B5EF4-FFF2-40B4-BE49-F238E27FC236}">
                  <a16:creationId xmlns:a16="http://schemas.microsoft.com/office/drawing/2014/main" id="{00000000-0008-0000-0200-00005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68580</xdr:rowOff>
        </xdr:from>
        <xdr:to>
          <xdr:col>1</xdr:col>
          <xdr:colOff>327660</xdr:colOff>
          <xdr:row>60</xdr:row>
          <xdr:rowOff>220980</xdr:rowOff>
        </xdr:to>
        <xdr:sp macro="" textlink="">
          <xdr:nvSpPr>
            <xdr:cNvPr id="8279" name="Check Box 87" hidden="1">
              <a:extLst>
                <a:ext uri="{63B3BB69-23CF-44E3-9099-C40C66FF867C}">
                  <a14:compatExt spid="_x0000_s8279"/>
                </a:ext>
                <a:ext uri="{FF2B5EF4-FFF2-40B4-BE49-F238E27FC236}">
                  <a16:creationId xmlns:a16="http://schemas.microsoft.com/office/drawing/2014/main" id="{00000000-0008-0000-0200-00005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68580</xdr:rowOff>
        </xdr:from>
        <xdr:to>
          <xdr:col>2</xdr:col>
          <xdr:colOff>327660</xdr:colOff>
          <xdr:row>60</xdr:row>
          <xdr:rowOff>220980</xdr:rowOff>
        </xdr:to>
        <xdr:sp macro="" textlink="">
          <xdr:nvSpPr>
            <xdr:cNvPr id="8280" name="Check Box 88" hidden="1">
              <a:extLst>
                <a:ext uri="{63B3BB69-23CF-44E3-9099-C40C66FF867C}">
                  <a14:compatExt spid="_x0000_s8280"/>
                </a:ext>
                <a:ext uri="{FF2B5EF4-FFF2-40B4-BE49-F238E27FC236}">
                  <a16:creationId xmlns:a16="http://schemas.microsoft.com/office/drawing/2014/main" id="{00000000-0008-0000-0200-00005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68580</xdr:rowOff>
        </xdr:from>
        <xdr:to>
          <xdr:col>1</xdr:col>
          <xdr:colOff>327660</xdr:colOff>
          <xdr:row>74</xdr:row>
          <xdr:rowOff>220980</xdr:rowOff>
        </xdr:to>
        <xdr:sp macro="" textlink="">
          <xdr:nvSpPr>
            <xdr:cNvPr id="8281" name="Check Box 89" hidden="1">
              <a:extLst>
                <a:ext uri="{63B3BB69-23CF-44E3-9099-C40C66FF867C}">
                  <a14:compatExt spid="_x0000_s8281"/>
                </a:ext>
                <a:ext uri="{FF2B5EF4-FFF2-40B4-BE49-F238E27FC236}">
                  <a16:creationId xmlns:a16="http://schemas.microsoft.com/office/drawing/2014/main" id="{00000000-0008-0000-0200-00005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68580</xdr:rowOff>
        </xdr:from>
        <xdr:to>
          <xdr:col>2</xdr:col>
          <xdr:colOff>327660</xdr:colOff>
          <xdr:row>74</xdr:row>
          <xdr:rowOff>220980</xdr:rowOff>
        </xdr:to>
        <xdr:sp macro="" textlink="">
          <xdr:nvSpPr>
            <xdr:cNvPr id="8282" name="Check Box 90" hidden="1">
              <a:extLst>
                <a:ext uri="{63B3BB69-23CF-44E3-9099-C40C66FF867C}">
                  <a14:compatExt spid="_x0000_s8282"/>
                </a:ext>
                <a:ext uri="{FF2B5EF4-FFF2-40B4-BE49-F238E27FC236}">
                  <a16:creationId xmlns:a16="http://schemas.microsoft.com/office/drawing/2014/main" id="{00000000-0008-0000-0200-00005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68580</xdr:rowOff>
        </xdr:from>
        <xdr:to>
          <xdr:col>1</xdr:col>
          <xdr:colOff>327660</xdr:colOff>
          <xdr:row>15</xdr:row>
          <xdr:rowOff>220980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68580</xdr:rowOff>
        </xdr:from>
        <xdr:to>
          <xdr:col>1</xdr:col>
          <xdr:colOff>320040</xdr:colOff>
          <xdr:row>16</xdr:row>
          <xdr:rowOff>259080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68580</xdr:rowOff>
        </xdr:from>
        <xdr:to>
          <xdr:col>1</xdr:col>
          <xdr:colOff>297180</xdr:colOff>
          <xdr:row>19</xdr:row>
          <xdr:rowOff>259080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3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68580</xdr:rowOff>
        </xdr:from>
        <xdr:to>
          <xdr:col>1</xdr:col>
          <xdr:colOff>297180</xdr:colOff>
          <xdr:row>22</xdr:row>
          <xdr:rowOff>220980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3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68580</xdr:rowOff>
        </xdr:from>
        <xdr:to>
          <xdr:col>1</xdr:col>
          <xdr:colOff>281940</xdr:colOff>
          <xdr:row>23</xdr:row>
          <xdr:rowOff>243840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3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68580</xdr:rowOff>
        </xdr:from>
        <xdr:to>
          <xdr:col>1</xdr:col>
          <xdr:colOff>327660</xdr:colOff>
          <xdr:row>24</xdr:row>
          <xdr:rowOff>243840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3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68580</xdr:rowOff>
        </xdr:from>
        <xdr:to>
          <xdr:col>1</xdr:col>
          <xdr:colOff>297180</xdr:colOff>
          <xdr:row>26</xdr:row>
          <xdr:rowOff>228600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3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68580</xdr:rowOff>
        </xdr:from>
        <xdr:to>
          <xdr:col>1</xdr:col>
          <xdr:colOff>327660</xdr:colOff>
          <xdr:row>29</xdr:row>
          <xdr:rowOff>220980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3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68580</xdr:rowOff>
        </xdr:from>
        <xdr:to>
          <xdr:col>1</xdr:col>
          <xdr:colOff>327660</xdr:colOff>
          <xdr:row>30</xdr:row>
          <xdr:rowOff>220980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3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68580</xdr:rowOff>
        </xdr:from>
        <xdr:to>
          <xdr:col>1</xdr:col>
          <xdr:colOff>327660</xdr:colOff>
          <xdr:row>31</xdr:row>
          <xdr:rowOff>220980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3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68580</xdr:rowOff>
        </xdr:from>
        <xdr:to>
          <xdr:col>1</xdr:col>
          <xdr:colOff>327660</xdr:colOff>
          <xdr:row>33</xdr:row>
          <xdr:rowOff>220980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3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68580</xdr:rowOff>
        </xdr:from>
        <xdr:to>
          <xdr:col>1</xdr:col>
          <xdr:colOff>327660</xdr:colOff>
          <xdr:row>36</xdr:row>
          <xdr:rowOff>220980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3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68580</xdr:rowOff>
        </xdr:from>
        <xdr:to>
          <xdr:col>1</xdr:col>
          <xdr:colOff>327660</xdr:colOff>
          <xdr:row>37</xdr:row>
          <xdr:rowOff>220980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3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68580</xdr:rowOff>
        </xdr:from>
        <xdr:to>
          <xdr:col>1</xdr:col>
          <xdr:colOff>327660</xdr:colOff>
          <xdr:row>38</xdr:row>
          <xdr:rowOff>220980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3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68580</xdr:rowOff>
        </xdr:from>
        <xdr:to>
          <xdr:col>1</xdr:col>
          <xdr:colOff>327660</xdr:colOff>
          <xdr:row>40</xdr:row>
          <xdr:rowOff>220980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3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68580</xdr:rowOff>
        </xdr:from>
        <xdr:to>
          <xdr:col>1</xdr:col>
          <xdr:colOff>327660</xdr:colOff>
          <xdr:row>43</xdr:row>
          <xdr:rowOff>220980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3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68580</xdr:rowOff>
        </xdr:from>
        <xdr:to>
          <xdr:col>1</xdr:col>
          <xdr:colOff>327660</xdr:colOff>
          <xdr:row>44</xdr:row>
          <xdr:rowOff>220980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3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68580</xdr:rowOff>
        </xdr:from>
        <xdr:to>
          <xdr:col>1</xdr:col>
          <xdr:colOff>327660</xdr:colOff>
          <xdr:row>45</xdr:row>
          <xdr:rowOff>220980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3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68580</xdr:rowOff>
        </xdr:from>
        <xdr:to>
          <xdr:col>1</xdr:col>
          <xdr:colOff>327660</xdr:colOff>
          <xdr:row>47</xdr:row>
          <xdr:rowOff>220980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3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68580</xdr:rowOff>
        </xdr:from>
        <xdr:to>
          <xdr:col>1</xdr:col>
          <xdr:colOff>327660</xdr:colOff>
          <xdr:row>50</xdr:row>
          <xdr:rowOff>220980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3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68580</xdr:rowOff>
        </xdr:from>
        <xdr:to>
          <xdr:col>1</xdr:col>
          <xdr:colOff>327660</xdr:colOff>
          <xdr:row>51</xdr:row>
          <xdr:rowOff>220980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3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68580</xdr:rowOff>
        </xdr:from>
        <xdr:to>
          <xdr:col>1</xdr:col>
          <xdr:colOff>327660</xdr:colOff>
          <xdr:row>52</xdr:row>
          <xdr:rowOff>220980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3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68580</xdr:rowOff>
        </xdr:from>
        <xdr:to>
          <xdr:col>1</xdr:col>
          <xdr:colOff>327660</xdr:colOff>
          <xdr:row>53</xdr:row>
          <xdr:rowOff>220980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3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68580</xdr:rowOff>
        </xdr:from>
        <xdr:to>
          <xdr:col>1</xdr:col>
          <xdr:colOff>327660</xdr:colOff>
          <xdr:row>54</xdr:row>
          <xdr:rowOff>220980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3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68580</xdr:rowOff>
        </xdr:from>
        <xdr:to>
          <xdr:col>1</xdr:col>
          <xdr:colOff>327660</xdr:colOff>
          <xdr:row>57</xdr:row>
          <xdr:rowOff>220980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3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68580</xdr:rowOff>
        </xdr:from>
        <xdr:to>
          <xdr:col>1</xdr:col>
          <xdr:colOff>327660</xdr:colOff>
          <xdr:row>58</xdr:row>
          <xdr:rowOff>220980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3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68580</xdr:rowOff>
        </xdr:from>
        <xdr:to>
          <xdr:col>1</xdr:col>
          <xdr:colOff>327660</xdr:colOff>
          <xdr:row>59</xdr:row>
          <xdr:rowOff>220980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3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68580</xdr:rowOff>
        </xdr:from>
        <xdr:to>
          <xdr:col>1</xdr:col>
          <xdr:colOff>327660</xdr:colOff>
          <xdr:row>61</xdr:row>
          <xdr:rowOff>220980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3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68580</xdr:rowOff>
        </xdr:from>
        <xdr:to>
          <xdr:col>1</xdr:col>
          <xdr:colOff>327660</xdr:colOff>
          <xdr:row>64</xdr:row>
          <xdr:rowOff>220980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3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68580</xdr:rowOff>
        </xdr:from>
        <xdr:to>
          <xdr:col>1</xdr:col>
          <xdr:colOff>327660</xdr:colOff>
          <xdr:row>65</xdr:row>
          <xdr:rowOff>220980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3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68580</xdr:rowOff>
        </xdr:from>
        <xdr:to>
          <xdr:col>1</xdr:col>
          <xdr:colOff>327660</xdr:colOff>
          <xdr:row>66</xdr:row>
          <xdr:rowOff>220980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3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68580</xdr:rowOff>
        </xdr:from>
        <xdr:to>
          <xdr:col>1</xdr:col>
          <xdr:colOff>327660</xdr:colOff>
          <xdr:row>67</xdr:row>
          <xdr:rowOff>220980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3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68580</xdr:rowOff>
        </xdr:from>
        <xdr:to>
          <xdr:col>1</xdr:col>
          <xdr:colOff>327660</xdr:colOff>
          <xdr:row>68</xdr:row>
          <xdr:rowOff>220980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3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68580</xdr:rowOff>
        </xdr:from>
        <xdr:to>
          <xdr:col>1</xdr:col>
          <xdr:colOff>327660</xdr:colOff>
          <xdr:row>71</xdr:row>
          <xdr:rowOff>220980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3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68580</xdr:rowOff>
        </xdr:from>
        <xdr:to>
          <xdr:col>1</xdr:col>
          <xdr:colOff>327660</xdr:colOff>
          <xdr:row>72</xdr:row>
          <xdr:rowOff>220980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3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68580</xdr:rowOff>
        </xdr:from>
        <xdr:to>
          <xdr:col>1</xdr:col>
          <xdr:colOff>327660</xdr:colOff>
          <xdr:row>73</xdr:row>
          <xdr:rowOff>220980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3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68580</xdr:rowOff>
        </xdr:from>
        <xdr:to>
          <xdr:col>1</xdr:col>
          <xdr:colOff>327660</xdr:colOff>
          <xdr:row>75</xdr:row>
          <xdr:rowOff>220980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3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68580</xdr:rowOff>
        </xdr:from>
        <xdr:to>
          <xdr:col>2</xdr:col>
          <xdr:colOff>327660</xdr:colOff>
          <xdr:row>15</xdr:row>
          <xdr:rowOff>220980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3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68580</xdr:rowOff>
        </xdr:from>
        <xdr:to>
          <xdr:col>2</xdr:col>
          <xdr:colOff>327660</xdr:colOff>
          <xdr:row>16</xdr:row>
          <xdr:rowOff>220980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3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68580</xdr:rowOff>
        </xdr:from>
        <xdr:to>
          <xdr:col>2</xdr:col>
          <xdr:colOff>327660</xdr:colOff>
          <xdr:row>19</xdr:row>
          <xdr:rowOff>220980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3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68580</xdr:rowOff>
        </xdr:from>
        <xdr:to>
          <xdr:col>2</xdr:col>
          <xdr:colOff>327660</xdr:colOff>
          <xdr:row>22</xdr:row>
          <xdr:rowOff>220980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3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68580</xdr:rowOff>
        </xdr:from>
        <xdr:to>
          <xdr:col>2</xdr:col>
          <xdr:colOff>327660</xdr:colOff>
          <xdr:row>23</xdr:row>
          <xdr:rowOff>220980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3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68580</xdr:rowOff>
        </xdr:from>
        <xdr:to>
          <xdr:col>2</xdr:col>
          <xdr:colOff>327660</xdr:colOff>
          <xdr:row>24</xdr:row>
          <xdr:rowOff>220980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3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68580</xdr:rowOff>
        </xdr:from>
        <xdr:to>
          <xdr:col>2</xdr:col>
          <xdr:colOff>327660</xdr:colOff>
          <xdr:row>26</xdr:row>
          <xdr:rowOff>220980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3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68580</xdr:rowOff>
        </xdr:from>
        <xdr:to>
          <xdr:col>2</xdr:col>
          <xdr:colOff>327660</xdr:colOff>
          <xdr:row>29</xdr:row>
          <xdr:rowOff>220980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3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68580</xdr:rowOff>
        </xdr:from>
        <xdr:to>
          <xdr:col>2</xdr:col>
          <xdr:colOff>327660</xdr:colOff>
          <xdr:row>30</xdr:row>
          <xdr:rowOff>220980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3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68580</xdr:rowOff>
        </xdr:from>
        <xdr:to>
          <xdr:col>2</xdr:col>
          <xdr:colOff>327660</xdr:colOff>
          <xdr:row>31</xdr:row>
          <xdr:rowOff>220980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3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68580</xdr:rowOff>
        </xdr:from>
        <xdr:to>
          <xdr:col>2</xdr:col>
          <xdr:colOff>327660</xdr:colOff>
          <xdr:row>33</xdr:row>
          <xdr:rowOff>220980</xdr:rowOff>
        </xdr:to>
        <xdr:sp macro="" textlink="">
          <xdr:nvSpPr>
            <xdr:cNvPr id="9264" name="Check Box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3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68580</xdr:rowOff>
        </xdr:from>
        <xdr:to>
          <xdr:col>2</xdr:col>
          <xdr:colOff>327660</xdr:colOff>
          <xdr:row>36</xdr:row>
          <xdr:rowOff>220980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3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68580</xdr:rowOff>
        </xdr:from>
        <xdr:to>
          <xdr:col>2</xdr:col>
          <xdr:colOff>327660</xdr:colOff>
          <xdr:row>37</xdr:row>
          <xdr:rowOff>220980</xdr:rowOff>
        </xdr:to>
        <xdr:sp macro="" textlink="">
          <xdr:nvSpPr>
            <xdr:cNvPr id="9266" name="Check Box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3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68580</xdr:rowOff>
        </xdr:from>
        <xdr:to>
          <xdr:col>2</xdr:col>
          <xdr:colOff>327660</xdr:colOff>
          <xdr:row>38</xdr:row>
          <xdr:rowOff>220980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  <a:ext uri="{FF2B5EF4-FFF2-40B4-BE49-F238E27FC236}">
                  <a16:creationId xmlns:a16="http://schemas.microsoft.com/office/drawing/2014/main" id="{00000000-0008-0000-0300-00003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68580</xdr:rowOff>
        </xdr:from>
        <xdr:to>
          <xdr:col>2</xdr:col>
          <xdr:colOff>327660</xdr:colOff>
          <xdr:row>40</xdr:row>
          <xdr:rowOff>220980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  <a:ext uri="{FF2B5EF4-FFF2-40B4-BE49-F238E27FC236}">
                  <a16:creationId xmlns:a16="http://schemas.microsoft.com/office/drawing/2014/main" id="{00000000-0008-0000-0300-00003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68580</xdr:rowOff>
        </xdr:from>
        <xdr:to>
          <xdr:col>2</xdr:col>
          <xdr:colOff>327660</xdr:colOff>
          <xdr:row>43</xdr:row>
          <xdr:rowOff>220980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  <a:ext uri="{FF2B5EF4-FFF2-40B4-BE49-F238E27FC236}">
                  <a16:creationId xmlns:a16="http://schemas.microsoft.com/office/drawing/2014/main" id="{00000000-0008-0000-0300-00003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68580</xdr:rowOff>
        </xdr:from>
        <xdr:to>
          <xdr:col>2</xdr:col>
          <xdr:colOff>327660</xdr:colOff>
          <xdr:row>44</xdr:row>
          <xdr:rowOff>220980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  <a:ext uri="{FF2B5EF4-FFF2-40B4-BE49-F238E27FC236}">
                  <a16:creationId xmlns:a16="http://schemas.microsoft.com/office/drawing/2014/main" id="{00000000-0008-0000-0300-00003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68580</xdr:rowOff>
        </xdr:from>
        <xdr:to>
          <xdr:col>2</xdr:col>
          <xdr:colOff>327660</xdr:colOff>
          <xdr:row>45</xdr:row>
          <xdr:rowOff>220980</xdr:rowOff>
        </xdr:to>
        <xdr:sp macro="" textlink="">
          <xdr:nvSpPr>
            <xdr:cNvPr id="9271" name="Check Box 55" hidden="1">
              <a:extLst>
                <a:ext uri="{63B3BB69-23CF-44E3-9099-C40C66FF867C}">
                  <a14:compatExt spid="_x0000_s9271"/>
                </a:ext>
                <a:ext uri="{FF2B5EF4-FFF2-40B4-BE49-F238E27FC236}">
                  <a16:creationId xmlns:a16="http://schemas.microsoft.com/office/drawing/2014/main" id="{00000000-0008-0000-0300-00003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68580</xdr:rowOff>
        </xdr:from>
        <xdr:to>
          <xdr:col>2</xdr:col>
          <xdr:colOff>327660</xdr:colOff>
          <xdr:row>47</xdr:row>
          <xdr:rowOff>220980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  <a:ext uri="{FF2B5EF4-FFF2-40B4-BE49-F238E27FC236}">
                  <a16:creationId xmlns:a16="http://schemas.microsoft.com/office/drawing/2014/main" id="{00000000-0008-0000-0300-00003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68580</xdr:rowOff>
        </xdr:from>
        <xdr:to>
          <xdr:col>2</xdr:col>
          <xdr:colOff>327660</xdr:colOff>
          <xdr:row>50</xdr:row>
          <xdr:rowOff>220980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  <a:ext uri="{FF2B5EF4-FFF2-40B4-BE49-F238E27FC236}">
                  <a16:creationId xmlns:a16="http://schemas.microsoft.com/office/drawing/2014/main" id="{00000000-0008-0000-0300-00003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68580</xdr:rowOff>
        </xdr:from>
        <xdr:to>
          <xdr:col>2</xdr:col>
          <xdr:colOff>327660</xdr:colOff>
          <xdr:row>51</xdr:row>
          <xdr:rowOff>220980</xdr:rowOff>
        </xdr:to>
        <xdr:sp macro="" textlink="">
          <xdr:nvSpPr>
            <xdr:cNvPr id="9274" name="Check Box 58" hidden="1">
              <a:extLst>
                <a:ext uri="{63B3BB69-23CF-44E3-9099-C40C66FF867C}">
                  <a14:compatExt spid="_x0000_s9274"/>
                </a:ext>
                <a:ext uri="{FF2B5EF4-FFF2-40B4-BE49-F238E27FC236}">
                  <a16:creationId xmlns:a16="http://schemas.microsoft.com/office/drawing/2014/main" id="{00000000-0008-0000-0300-00003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68580</xdr:rowOff>
        </xdr:from>
        <xdr:to>
          <xdr:col>2</xdr:col>
          <xdr:colOff>327660</xdr:colOff>
          <xdr:row>52</xdr:row>
          <xdr:rowOff>220980</xdr:rowOff>
        </xdr:to>
        <xdr:sp macro="" textlink="">
          <xdr:nvSpPr>
            <xdr:cNvPr id="9275" name="Check Box 59" hidden="1">
              <a:extLst>
                <a:ext uri="{63B3BB69-23CF-44E3-9099-C40C66FF867C}">
                  <a14:compatExt spid="_x0000_s9275"/>
                </a:ext>
                <a:ext uri="{FF2B5EF4-FFF2-40B4-BE49-F238E27FC236}">
                  <a16:creationId xmlns:a16="http://schemas.microsoft.com/office/drawing/2014/main" id="{00000000-0008-0000-0300-00003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68580</xdr:rowOff>
        </xdr:from>
        <xdr:to>
          <xdr:col>2</xdr:col>
          <xdr:colOff>327660</xdr:colOff>
          <xdr:row>53</xdr:row>
          <xdr:rowOff>220980</xdr:rowOff>
        </xdr:to>
        <xdr:sp macro="" textlink="">
          <xdr:nvSpPr>
            <xdr:cNvPr id="9276" name="Check Box 60" hidden="1">
              <a:extLst>
                <a:ext uri="{63B3BB69-23CF-44E3-9099-C40C66FF867C}">
                  <a14:compatExt spid="_x0000_s9276"/>
                </a:ext>
                <a:ext uri="{FF2B5EF4-FFF2-40B4-BE49-F238E27FC236}">
                  <a16:creationId xmlns:a16="http://schemas.microsoft.com/office/drawing/2014/main" id="{00000000-0008-0000-0300-00003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68580</xdr:rowOff>
        </xdr:from>
        <xdr:to>
          <xdr:col>2</xdr:col>
          <xdr:colOff>327660</xdr:colOff>
          <xdr:row>54</xdr:row>
          <xdr:rowOff>220980</xdr:rowOff>
        </xdr:to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  <a:ext uri="{FF2B5EF4-FFF2-40B4-BE49-F238E27FC236}">
                  <a16:creationId xmlns:a16="http://schemas.microsoft.com/office/drawing/2014/main" id="{00000000-0008-0000-0300-00003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68580</xdr:rowOff>
        </xdr:from>
        <xdr:to>
          <xdr:col>2</xdr:col>
          <xdr:colOff>327660</xdr:colOff>
          <xdr:row>57</xdr:row>
          <xdr:rowOff>220980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  <a:ext uri="{FF2B5EF4-FFF2-40B4-BE49-F238E27FC236}">
                  <a16:creationId xmlns:a16="http://schemas.microsoft.com/office/drawing/2014/main" id="{00000000-0008-0000-0300-00003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68580</xdr:rowOff>
        </xdr:from>
        <xdr:to>
          <xdr:col>2</xdr:col>
          <xdr:colOff>327660</xdr:colOff>
          <xdr:row>58</xdr:row>
          <xdr:rowOff>220980</xdr:rowOff>
        </xdr:to>
        <xdr:sp macro="" textlink="">
          <xdr:nvSpPr>
            <xdr:cNvPr id="9279" name="Check Box 63" hidden="1">
              <a:extLst>
                <a:ext uri="{63B3BB69-23CF-44E3-9099-C40C66FF867C}">
                  <a14:compatExt spid="_x0000_s9279"/>
                </a:ext>
                <a:ext uri="{FF2B5EF4-FFF2-40B4-BE49-F238E27FC236}">
                  <a16:creationId xmlns:a16="http://schemas.microsoft.com/office/drawing/2014/main" id="{00000000-0008-0000-0300-00003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68580</xdr:rowOff>
        </xdr:from>
        <xdr:to>
          <xdr:col>2</xdr:col>
          <xdr:colOff>327660</xdr:colOff>
          <xdr:row>59</xdr:row>
          <xdr:rowOff>220980</xdr:rowOff>
        </xdr:to>
        <xdr:sp macro="" textlink="">
          <xdr:nvSpPr>
            <xdr:cNvPr id="9280" name="Check Box 64" hidden="1">
              <a:extLst>
                <a:ext uri="{63B3BB69-23CF-44E3-9099-C40C66FF867C}">
                  <a14:compatExt spid="_x0000_s9280"/>
                </a:ext>
                <a:ext uri="{FF2B5EF4-FFF2-40B4-BE49-F238E27FC236}">
                  <a16:creationId xmlns:a16="http://schemas.microsoft.com/office/drawing/2014/main" id="{00000000-0008-0000-0300-00004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68580</xdr:rowOff>
        </xdr:from>
        <xdr:to>
          <xdr:col>2</xdr:col>
          <xdr:colOff>327660</xdr:colOff>
          <xdr:row>61</xdr:row>
          <xdr:rowOff>220980</xdr:rowOff>
        </xdr:to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  <a:ext uri="{FF2B5EF4-FFF2-40B4-BE49-F238E27FC236}">
                  <a16:creationId xmlns:a16="http://schemas.microsoft.com/office/drawing/2014/main" id="{00000000-0008-0000-0300-00004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68580</xdr:rowOff>
        </xdr:from>
        <xdr:to>
          <xdr:col>2</xdr:col>
          <xdr:colOff>327660</xdr:colOff>
          <xdr:row>64</xdr:row>
          <xdr:rowOff>220980</xdr:rowOff>
        </xdr:to>
        <xdr:sp macro="" textlink="">
          <xdr:nvSpPr>
            <xdr:cNvPr id="9282" name="Check Box 66" hidden="1">
              <a:extLst>
                <a:ext uri="{63B3BB69-23CF-44E3-9099-C40C66FF867C}">
                  <a14:compatExt spid="_x0000_s9282"/>
                </a:ext>
                <a:ext uri="{FF2B5EF4-FFF2-40B4-BE49-F238E27FC236}">
                  <a16:creationId xmlns:a16="http://schemas.microsoft.com/office/drawing/2014/main" id="{00000000-0008-0000-0300-00004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68580</xdr:rowOff>
        </xdr:from>
        <xdr:to>
          <xdr:col>2</xdr:col>
          <xdr:colOff>327660</xdr:colOff>
          <xdr:row>65</xdr:row>
          <xdr:rowOff>220980</xdr:rowOff>
        </xdr:to>
        <xdr:sp macro="" textlink="">
          <xdr:nvSpPr>
            <xdr:cNvPr id="9283" name="Check Box 67" hidden="1">
              <a:extLst>
                <a:ext uri="{63B3BB69-23CF-44E3-9099-C40C66FF867C}">
                  <a14:compatExt spid="_x0000_s9283"/>
                </a:ext>
                <a:ext uri="{FF2B5EF4-FFF2-40B4-BE49-F238E27FC236}">
                  <a16:creationId xmlns:a16="http://schemas.microsoft.com/office/drawing/2014/main" id="{00000000-0008-0000-0300-00004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68580</xdr:rowOff>
        </xdr:from>
        <xdr:to>
          <xdr:col>2</xdr:col>
          <xdr:colOff>327660</xdr:colOff>
          <xdr:row>66</xdr:row>
          <xdr:rowOff>220980</xdr:rowOff>
        </xdr:to>
        <xdr:sp macro="" textlink="">
          <xdr:nvSpPr>
            <xdr:cNvPr id="9284" name="Check Box 68" hidden="1">
              <a:extLst>
                <a:ext uri="{63B3BB69-23CF-44E3-9099-C40C66FF867C}">
                  <a14:compatExt spid="_x0000_s9284"/>
                </a:ext>
                <a:ext uri="{FF2B5EF4-FFF2-40B4-BE49-F238E27FC236}">
                  <a16:creationId xmlns:a16="http://schemas.microsoft.com/office/drawing/2014/main" id="{00000000-0008-0000-0300-00004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68580</xdr:rowOff>
        </xdr:from>
        <xdr:to>
          <xdr:col>2</xdr:col>
          <xdr:colOff>327660</xdr:colOff>
          <xdr:row>67</xdr:row>
          <xdr:rowOff>220980</xdr:rowOff>
        </xdr:to>
        <xdr:sp macro="" textlink="">
          <xdr:nvSpPr>
            <xdr:cNvPr id="9285" name="Check Box 69" hidden="1">
              <a:extLst>
                <a:ext uri="{63B3BB69-23CF-44E3-9099-C40C66FF867C}">
                  <a14:compatExt spid="_x0000_s9285"/>
                </a:ext>
                <a:ext uri="{FF2B5EF4-FFF2-40B4-BE49-F238E27FC236}">
                  <a16:creationId xmlns:a16="http://schemas.microsoft.com/office/drawing/2014/main" id="{00000000-0008-0000-0300-00004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68580</xdr:rowOff>
        </xdr:from>
        <xdr:to>
          <xdr:col>2</xdr:col>
          <xdr:colOff>327660</xdr:colOff>
          <xdr:row>68</xdr:row>
          <xdr:rowOff>220980</xdr:rowOff>
        </xdr:to>
        <xdr:sp macro="" textlink="">
          <xdr:nvSpPr>
            <xdr:cNvPr id="9286" name="Check Box 70" hidden="1">
              <a:extLst>
                <a:ext uri="{63B3BB69-23CF-44E3-9099-C40C66FF867C}">
                  <a14:compatExt spid="_x0000_s9286"/>
                </a:ext>
                <a:ext uri="{FF2B5EF4-FFF2-40B4-BE49-F238E27FC236}">
                  <a16:creationId xmlns:a16="http://schemas.microsoft.com/office/drawing/2014/main" id="{00000000-0008-0000-0300-00004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68580</xdr:rowOff>
        </xdr:from>
        <xdr:to>
          <xdr:col>2</xdr:col>
          <xdr:colOff>327660</xdr:colOff>
          <xdr:row>71</xdr:row>
          <xdr:rowOff>220980</xdr:rowOff>
        </xdr:to>
        <xdr:sp macro="" textlink="">
          <xdr:nvSpPr>
            <xdr:cNvPr id="9287" name="Check Box 71" hidden="1">
              <a:extLst>
                <a:ext uri="{63B3BB69-23CF-44E3-9099-C40C66FF867C}">
                  <a14:compatExt spid="_x0000_s9287"/>
                </a:ext>
                <a:ext uri="{FF2B5EF4-FFF2-40B4-BE49-F238E27FC236}">
                  <a16:creationId xmlns:a16="http://schemas.microsoft.com/office/drawing/2014/main" id="{00000000-0008-0000-0300-00004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68580</xdr:rowOff>
        </xdr:from>
        <xdr:to>
          <xdr:col>2</xdr:col>
          <xdr:colOff>327660</xdr:colOff>
          <xdr:row>72</xdr:row>
          <xdr:rowOff>220980</xdr:rowOff>
        </xdr:to>
        <xdr:sp macro="" textlink="">
          <xdr:nvSpPr>
            <xdr:cNvPr id="9288" name="Check Box 72" hidden="1">
              <a:extLst>
                <a:ext uri="{63B3BB69-23CF-44E3-9099-C40C66FF867C}">
                  <a14:compatExt spid="_x0000_s9288"/>
                </a:ext>
                <a:ext uri="{FF2B5EF4-FFF2-40B4-BE49-F238E27FC236}">
                  <a16:creationId xmlns:a16="http://schemas.microsoft.com/office/drawing/2014/main" id="{00000000-0008-0000-0300-00004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68580</xdr:rowOff>
        </xdr:from>
        <xdr:to>
          <xdr:col>2</xdr:col>
          <xdr:colOff>327660</xdr:colOff>
          <xdr:row>73</xdr:row>
          <xdr:rowOff>220980</xdr:rowOff>
        </xdr:to>
        <xdr:sp macro="" textlink="">
          <xdr:nvSpPr>
            <xdr:cNvPr id="9289" name="Check Box 73" hidden="1">
              <a:extLst>
                <a:ext uri="{63B3BB69-23CF-44E3-9099-C40C66FF867C}">
                  <a14:compatExt spid="_x0000_s9289"/>
                </a:ext>
                <a:ext uri="{FF2B5EF4-FFF2-40B4-BE49-F238E27FC236}">
                  <a16:creationId xmlns:a16="http://schemas.microsoft.com/office/drawing/2014/main" id="{00000000-0008-0000-0300-00004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68580</xdr:rowOff>
        </xdr:from>
        <xdr:to>
          <xdr:col>2</xdr:col>
          <xdr:colOff>327660</xdr:colOff>
          <xdr:row>75</xdr:row>
          <xdr:rowOff>220980</xdr:rowOff>
        </xdr:to>
        <xdr:sp macro="" textlink="">
          <xdr:nvSpPr>
            <xdr:cNvPr id="9290" name="Check Box 74" hidden="1">
              <a:extLst>
                <a:ext uri="{63B3BB69-23CF-44E3-9099-C40C66FF867C}">
                  <a14:compatExt spid="_x0000_s9290"/>
                </a:ext>
                <a:ext uri="{FF2B5EF4-FFF2-40B4-BE49-F238E27FC236}">
                  <a16:creationId xmlns:a16="http://schemas.microsoft.com/office/drawing/2014/main" id="{00000000-0008-0000-0300-00004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1</xdr:col>
      <xdr:colOff>408940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694690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68580</xdr:rowOff>
        </xdr:from>
        <xdr:to>
          <xdr:col>1</xdr:col>
          <xdr:colOff>304800</xdr:colOff>
          <xdr:row>18</xdr:row>
          <xdr:rowOff>251460</xdr:rowOff>
        </xdr:to>
        <xdr:sp macro="" textlink="">
          <xdr:nvSpPr>
            <xdr:cNvPr id="9291" name="Check Box 75" hidden="1">
              <a:extLst>
                <a:ext uri="{63B3BB69-23CF-44E3-9099-C40C66FF867C}">
                  <a14:compatExt spid="_x0000_s9291"/>
                </a:ext>
                <a:ext uri="{FF2B5EF4-FFF2-40B4-BE49-F238E27FC236}">
                  <a16:creationId xmlns:a16="http://schemas.microsoft.com/office/drawing/2014/main" id="{00000000-0008-0000-0300-00004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68580</xdr:rowOff>
        </xdr:from>
        <xdr:to>
          <xdr:col>2</xdr:col>
          <xdr:colOff>327660</xdr:colOff>
          <xdr:row>18</xdr:row>
          <xdr:rowOff>220980</xdr:rowOff>
        </xdr:to>
        <xdr:sp macro="" textlink="">
          <xdr:nvSpPr>
            <xdr:cNvPr id="9292" name="Check Box 76" hidden="1">
              <a:extLst>
                <a:ext uri="{63B3BB69-23CF-44E3-9099-C40C66FF867C}">
                  <a14:compatExt spid="_x0000_s9292"/>
                </a:ext>
                <a:ext uri="{FF2B5EF4-FFF2-40B4-BE49-F238E27FC236}">
                  <a16:creationId xmlns:a16="http://schemas.microsoft.com/office/drawing/2014/main" id="{00000000-0008-0000-0300-00004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68580</xdr:rowOff>
        </xdr:from>
        <xdr:to>
          <xdr:col>1</xdr:col>
          <xdr:colOff>320040</xdr:colOff>
          <xdr:row>17</xdr:row>
          <xdr:rowOff>259080</xdr:rowOff>
        </xdr:to>
        <xdr:sp macro="" textlink="">
          <xdr:nvSpPr>
            <xdr:cNvPr id="9293" name="Check Box 77" hidden="1">
              <a:extLst>
                <a:ext uri="{63B3BB69-23CF-44E3-9099-C40C66FF867C}">
                  <a14:compatExt spid="_x0000_s9293"/>
                </a:ext>
                <a:ext uri="{FF2B5EF4-FFF2-40B4-BE49-F238E27FC236}">
                  <a16:creationId xmlns:a16="http://schemas.microsoft.com/office/drawing/2014/main" id="{00000000-0008-0000-0300-00004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68580</xdr:rowOff>
        </xdr:from>
        <xdr:to>
          <xdr:col>2</xdr:col>
          <xdr:colOff>327660</xdr:colOff>
          <xdr:row>17</xdr:row>
          <xdr:rowOff>220980</xdr:rowOff>
        </xdr:to>
        <xdr:sp macro="" textlink="">
          <xdr:nvSpPr>
            <xdr:cNvPr id="9294" name="Check Box 78" hidden="1">
              <a:extLst>
                <a:ext uri="{63B3BB69-23CF-44E3-9099-C40C66FF867C}">
                  <a14:compatExt spid="_x0000_s9294"/>
                </a:ext>
                <a:ext uri="{FF2B5EF4-FFF2-40B4-BE49-F238E27FC236}">
                  <a16:creationId xmlns:a16="http://schemas.microsoft.com/office/drawing/2014/main" id="{00000000-0008-0000-0300-00004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68580</xdr:rowOff>
        </xdr:from>
        <xdr:to>
          <xdr:col>1</xdr:col>
          <xdr:colOff>327660</xdr:colOff>
          <xdr:row>25</xdr:row>
          <xdr:rowOff>243840</xdr:rowOff>
        </xdr:to>
        <xdr:sp macro="" textlink="">
          <xdr:nvSpPr>
            <xdr:cNvPr id="9295" name="Check Box 79" hidden="1">
              <a:extLst>
                <a:ext uri="{63B3BB69-23CF-44E3-9099-C40C66FF867C}">
                  <a14:compatExt spid="_x0000_s9295"/>
                </a:ext>
                <a:ext uri="{FF2B5EF4-FFF2-40B4-BE49-F238E27FC236}">
                  <a16:creationId xmlns:a16="http://schemas.microsoft.com/office/drawing/2014/main" id="{00000000-0008-0000-0300-00004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68580</xdr:rowOff>
        </xdr:from>
        <xdr:to>
          <xdr:col>2</xdr:col>
          <xdr:colOff>327660</xdr:colOff>
          <xdr:row>25</xdr:row>
          <xdr:rowOff>220980</xdr:rowOff>
        </xdr:to>
        <xdr:sp macro="" textlink="">
          <xdr:nvSpPr>
            <xdr:cNvPr id="9296" name="Check Box 80" hidden="1">
              <a:extLst>
                <a:ext uri="{63B3BB69-23CF-44E3-9099-C40C66FF867C}">
                  <a14:compatExt spid="_x0000_s9296"/>
                </a:ext>
                <a:ext uri="{FF2B5EF4-FFF2-40B4-BE49-F238E27FC236}">
                  <a16:creationId xmlns:a16="http://schemas.microsoft.com/office/drawing/2014/main" id="{00000000-0008-0000-0300-00005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68580</xdr:rowOff>
        </xdr:from>
        <xdr:to>
          <xdr:col>1</xdr:col>
          <xdr:colOff>327660</xdr:colOff>
          <xdr:row>32</xdr:row>
          <xdr:rowOff>220980</xdr:rowOff>
        </xdr:to>
        <xdr:sp macro="" textlink="">
          <xdr:nvSpPr>
            <xdr:cNvPr id="9297" name="Check Box 81" hidden="1">
              <a:extLst>
                <a:ext uri="{63B3BB69-23CF-44E3-9099-C40C66FF867C}">
                  <a14:compatExt spid="_x0000_s9297"/>
                </a:ext>
                <a:ext uri="{FF2B5EF4-FFF2-40B4-BE49-F238E27FC236}">
                  <a16:creationId xmlns:a16="http://schemas.microsoft.com/office/drawing/2014/main" id="{00000000-0008-0000-0300-00005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68580</xdr:rowOff>
        </xdr:from>
        <xdr:to>
          <xdr:col>2</xdr:col>
          <xdr:colOff>327660</xdr:colOff>
          <xdr:row>32</xdr:row>
          <xdr:rowOff>220980</xdr:rowOff>
        </xdr:to>
        <xdr:sp macro="" textlink="">
          <xdr:nvSpPr>
            <xdr:cNvPr id="9298" name="Check Box 82" hidden="1">
              <a:extLst>
                <a:ext uri="{63B3BB69-23CF-44E3-9099-C40C66FF867C}">
                  <a14:compatExt spid="_x0000_s9298"/>
                </a:ext>
                <a:ext uri="{FF2B5EF4-FFF2-40B4-BE49-F238E27FC236}">
                  <a16:creationId xmlns:a16="http://schemas.microsoft.com/office/drawing/2014/main" id="{00000000-0008-0000-0300-00005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68580</xdr:rowOff>
        </xdr:from>
        <xdr:to>
          <xdr:col>1</xdr:col>
          <xdr:colOff>327660</xdr:colOff>
          <xdr:row>39</xdr:row>
          <xdr:rowOff>220980</xdr:rowOff>
        </xdr:to>
        <xdr:sp macro="" textlink="">
          <xdr:nvSpPr>
            <xdr:cNvPr id="9299" name="Check Box 83" hidden="1">
              <a:extLst>
                <a:ext uri="{63B3BB69-23CF-44E3-9099-C40C66FF867C}">
                  <a14:compatExt spid="_x0000_s9299"/>
                </a:ext>
                <a:ext uri="{FF2B5EF4-FFF2-40B4-BE49-F238E27FC236}">
                  <a16:creationId xmlns:a16="http://schemas.microsoft.com/office/drawing/2014/main" id="{00000000-0008-0000-0300-00005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68580</xdr:rowOff>
        </xdr:from>
        <xdr:to>
          <xdr:col>2</xdr:col>
          <xdr:colOff>327660</xdr:colOff>
          <xdr:row>39</xdr:row>
          <xdr:rowOff>220980</xdr:rowOff>
        </xdr:to>
        <xdr:sp macro="" textlink="">
          <xdr:nvSpPr>
            <xdr:cNvPr id="9300" name="Check Box 84" hidden="1">
              <a:extLst>
                <a:ext uri="{63B3BB69-23CF-44E3-9099-C40C66FF867C}">
                  <a14:compatExt spid="_x0000_s9300"/>
                </a:ext>
                <a:ext uri="{FF2B5EF4-FFF2-40B4-BE49-F238E27FC236}">
                  <a16:creationId xmlns:a16="http://schemas.microsoft.com/office/drawing/2014/main" id="{00000000-0008-0000-0300-00005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68580</xdr:rowOff>
        </xdr:from>
        <xdr:to>
          <xdr:col>1</xdr:col>
          <xdr:colOff>327660</xdr:colOff>
          <xdr:row>46</xdr:row>
          <xdr:rowOff>220980</xdr:rowOff>
        </xdr:to>
        <xdr:sp macro="" textlink="">
          <xdr:nvSpPr>
            <xdr:cNvPr id="9301" name="Check Box 85" hidden="1">
              <a:extLst>
                <a:ext uri="{63B3BB69-23CF-44E3-9099-C40C66FF867C}">
                  <a14:compatExt spid="_x0000_s9301"/>
                </a:ext>
                <a:ext uri="{FF2B5EF4-FFF2-40B4-BE49-F238E27FC236}">
                  <a16:creationId xmlns:a16="http://schemas.microsoft.com/office/drawing/2014/main" id="{00000000-0008-0000-0300-00005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68580</xdr:rowOff>
        </xdr:from>
        <xdr:to>
          <xdr:col>2</xdr:col>
          <xdr:colOff>327660</xdr:colOff>
          <xdr:row>46</xdr:row>
          <xdr:rowOff>220980</xdr:rowOff>
        </xdr:to>
        <xdr:sp macro="" textlink="">
          <xdr:nvSpPr>
            <xdr:cNvPr id="9302" name="Check Box 86" hidden="1">
              <a:extLst>
                <a:ext uri="{63B3BB69-23CF-44E3-9099-C40C66FF867C}">
                  <a14:compatExt spid="_x0000_s9302"/>
                </a:ext>
                <a:ext uri="{FF2B5EF4-FFF2-40B4-BE49-F238E27FC236}">
                  <a16:creationId xmlns:a16="http://schemas.microsoft.com/office/drawing/2014/main" id="{00000000-0008-0000-0300-00005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68580</xdr:rowOff>
        </xdr:from>
        <xdr:to>
          <xdr:col>1</xdr:col>
          <xdr:colOff>327660</xdr:colOff>
          <xdr:row>60</xdr:row>
          <xdr:rowOff>220980</xdr:rowOff>
        </xdr:to>
        <xdr:sp macro="" textlink="">
          <xdr:nvSpPr>
            <xdr:cNvPr id="9303" name="Check Box 87" hidden="1">
              <a:extLst>
                <a:ext uri="{63B3BB69-23CF-44E3-9099-C40C66FF867C}">
                  <a14:compatExt spid="_x0000_s9303"/>
                </a:ext>
                <a:ext uri="{FF2B5EF4-FFF2-40B4-BE49-F238E27FC236}">
                  <a16:creationId xmlns:a16="http://schemas.microsoft.com/office/drawing/2014/main" id="{00000000-0008-0000-0300-00005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68580</xdr:rowOff>
        </xdr:from>
        <xdr:to>
          <xdr:col>2</xdr:col>
          <xdr:colOff>327660</xdr:colOff>
          <xdr:row>60</xdr:row>
          <xdr:rowOff>220980</xdr:rowOff>
        </xdr:to>
        <xdr:sp macro="" textlink="">
          <xdr:nvSpPr>
            <xdr:cNvPr id="9304" name="Check Box 88" hidden="1">
              <a:extLst>
                <a:ext uri="{63B3BB69-23CF-44E3-9099-C40C66FF867C}">
                  <a14:compatExt spid="_x0000_s9304"/>
                </a:ext>
                <a:ext uri="{FF2B5EF4-FFF2-40B4-BE49-F238E27FC236}">
                  <a16:creationId xmlns:a16="http://schemas.microsoft.com/office/drawing/2014/main" id="{00000000-0008-0000-0300-00005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68580</xdr:rowOff>
        </xdr:from>
        <xdr:to>
          <xdr:col>1</xdr:col>
          <xdr:colOff>327660</xdr:colOff>
          <xdr:row>74</xdr:row>
          <xdr:rowOff>220980</xdr:rowOff>
        </xdr:to>
        <xdr:sp macro="" textlink="">
          <xdr:nvSpPr>
            <xdr:cNvPr id="9305" name="Check Box 89" hidden="1">
              <a:extLst>
                <a:ext uri="{63B3BB69-23CF-44E3-9099-C40C66FF867C}">
                  <a14:compatExt spid="_x0000_s9305"/>
                </a:ext>
                <a:ext uri="{FF2B5EF4-FFF2-40B4-BE49-F238E27FC236}">
                  <a16:creationId xmlns:a16="http://schemas.microsoft.com/office/drawing/2014/main" id="{00000000-0008-0000-0300-00005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68580</xdr:rowOff>
        </xdr:from>
        <xdr:to>
          <xdr:col>2</xdr:col>
          <xdr:colOff>327660</xdr:colOff>
          <xdr:row>74</xdr:row>
          <xdr:rowOff>220980</xdr:rowOff>
        </xdr:to>
        <xdr:sp macro="" textlink="">
          <xdr:nvSpPr>
            <xdr:cNvPr id="9306" name="Check Box 90" hidden="1">
              <a:extLst>
                <a:ext uri="{63B3BB69-23CF-44E3-9099-C40C66FF867C}">
                  <a14:compatExt spid="_x0000_s9306"/>
                </a:ext>
                <a:ext uri="{FF2B5EF4-FFF2-40B4-BE49-F238E27FC236}">
                  <a16:creationId xmlns:a16="http://schemas.microsoft.com/office/drawing/2014/main" id="{00000000-0008-0000-0300-00005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68580</xdr:rowOff>
        </xdr:from>
        <xdr:to>
          <xdr:col>1</xdr:col>
          <xdr:colOff>327660</xdr:colOff>
          <xdr:row>15</xdr:row>
          <xdr:rowOff>220980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68580</xdr:rowOff>
        </xdr:from>
        <xdr:to>
          <xdr:col>1</xdr:col>
          <xdr:colOff>320040</xdr:colOff>
          <xdr:row>16</xdr:row>
          <xdr:rowOff>259080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68580</xdr:rowOff>
        </xdr:from>
        <xdr:to>
          <xdr:col>1</xdr:col>
          <xdr:colOff>297180</xdr:colOff>
          <xdr:row>19</xdr:row>
          <xdr:rowOff>259080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4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68580</xdr:rowOff>
        </xdr:from>
        <xdr:to>
          <xdr:col>1</xdr:col>
          <xdr:colOff>297180</xdr:colOff>
          <xdr:row>22</xdr:row>
          <xdr:rowOff>220980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4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68580</xdr:rowOff>
        </xdr:from>
        <xdr:to>
          <xdr:col>1</xdr:col>
          <xdr:colOff>281940</xdr:colOff>
          <xdr:row>23</xdr:row>
          <xdr:rowOff>243840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4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68580</xdr:rowOff>
        </xdr:from>
        <xdr:to>
          <xdr:col>1</xdr:col>
          <xdr:colOff>327660</xdr:colOff>
          <xdr:row>24</xdr:row>
          <xdr:rowOff>243840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68580</xdr:rowOff>
        </xdr:from>
        <xdr:to>
          <xdr:col>1</xdr:col>
          <xdr:colOff>297180</xdr:colOff>
          <xdr:row>26</xdr:row>
          <xdr:rowOff>228600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68580</xdr:rowOff>
        </xdr:from>
        <xdr:to>
          <xdr:col>1</xdr:col>
          <xdr:colOff>327660</xdr:colOff>
          <xdr:row>29</xdr:row>
          <xdr:rowOff>220980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4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68580</xdr:rowOff>
        </xdr:from>
        <xdr:to>
          <xdr:col>1</xdr:col>
          <xdr:colOff>327660</xdr:colOff>
          <xdr:row>30</xdr:row>
          <xdr:rowOff>220980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4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68580</xdr:rowOff>
        </xdr:from>
        <xdr:to>
          <xdr:col>1</xdr:col>
          <xdr:colOff>327660</xdr:colOff>
          <xdr:row>31</xdr:row>
          <xdr:rowOff>220980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4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68580</xdr:rowOff>
        </xdr:from>
        <xdr:to>
          <xdr:col>1</xdr:col>
          <xdr:colOff>327660</xdr:colOff>
          <xdr:row>33</xdr:row>
          <xdr:rowOff>220980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4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68580</xdr:rowOff>
        </xdr:from>
        <xdr:to>
          <xdr:col>1</xdr:col>
          <xdr:colOff>327660</xdr:colOff>
          <xdr:row>36</xdr:row>
          <xdr:rowOff>220980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4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68580</xdr:rowOff>
        </xdr:from>
        <xdr:to>
          <xdr:col>1</xdr:col>
          <xdr:colOff>327660</xdr:colOff>
          <xdr:row>37</xdr:row>
          <xdr:rowOff>220980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4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68580</xdr:rowOff>
        </xdr:from>
        <xdr:to>
          <xdr:col>1</xdr:col>
          <xdr:colOff>327660</xdr:colOff>
          <xdr:row>38</xdr:row>
          <xdr:rowOff>220980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4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68580</xdr:rowOff>
        </xdr:from>
        <xdr:to>
          <xdr:col>1</xdr:col>
          <xdr:colOff>327660</xdr:colOff>
          <xdr:row>40</xdr:row>
          <xdr:rowOff>220980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4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68580</xdr:rowOff>
        </xdr:from>
        <xdr:to>
          <xdr:col>1</xdr:col>
          <xdr:colOff>327660</xdr:colOff>
          <xdr:row>43</xdr:row>
          <xdr:rowOff>220980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4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68580</xdr:rowOff>
        </xdr:from>
        <xdr:to>
          <xdr:col>1</xdr:col>
          <xdr:colOff>327660</xdr:colOff>
          <xdr:row>44</xdr:row>
          <xdr:rowOff>220980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4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68580</xdr:rowOff>
        </xdr:from>
        <xdr:to>
          <xdr:col>1</xdr:col>
          <xdr:colOff>327660</xdr:colOff>
          <xdr:row>45</xdr:row>
          <xdr:rowOff>220980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4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68580</xdr:rowOff>
        </xdr:from>
        <xdr:to>
          <xdr:col>1</xdr:col>
          <xdr:colOff>327660</xdr:colOff>
          <xdr:row>47</xdr:row>
          <xdr:rowOff>220980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4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68580</xdr:rowOff>
        </xdr:from>
        <xdr:to>
          <xdr:col>1</xdr:col>
          <xdr:colOff>327660</xdr:colOff>
          <xdr:row>50</xdr:row>
          <xdr:rowOff>220980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4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68580</xdr:rowOff>
        </xdr:from>
        <xdr:to>
          <xdr:col>1</xdr:col>
          <xdr:colOff>327660</xdr:colOff>
          <xdr:row>51</xdr:row>
          <xdr:rowOff>220980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4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68580</xdr:rowOff>
        </xdr:from>
        <xdr:to>
          <xdr:col>1</xdr:col>
          <xdr:colOff>327660</xdr:colOff>
          <xdr:row>52</xdr:row>
          <xdr:rowOff>220980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4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68580</xdr:rowOff>
        </xdr:from>
        <xdr:to>
          <xdr:col>1</xdr:col>
          <xdr:colOff>327660</xdr:colOff>
          <xdr:row>53</xdr:row>
          <xdr:rowOff>220980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4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68580</xdr:rowOff>
        </xdr:from>
        <xdr:to>
          <xdr:col>1</xdr:col>
          <xdr:colOff>327660</xdr:colOff>
          <xdr:row>54</xdr:row>
          <xdr:rowOff>220980</xdr:rowOff>
        </xdr:to>
        <xdr:sp macro="" textlink="">
          <xdr:nvSpPr>
            <xdr:cNvPr id="10264" name="Check Box 24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4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68580</xdr:rowOff>
        </xdr:from>
        <xdr:to>
          <xdr:col>1</xdr:col>
          <xdr:colOff>327660</xdr:colOff>
          <xdr:row>57</xdr:row>
          <xdr:rowOff>220980</xdr:rowOff>
        </xdr:to>
        <xdr:sp macro="" textlink="">
          <xdr:nvSpPr>
            <xdr:cNvPr id="10265" name="Check Box 25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4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68580</xdr:rowOff>
        </xdr:from>
        <xdr:to>
          <xdr:col>1</xdr:col>
          <xdr:colOff>327660</xdr:colOff>
          <xdr:row>58</xdr:row>
          <xdr:rowOff>220980</xdr:rowOff>
        </xdr:to>
        <xdr:sp macro="" textlink="">
          <xdr:nvSpPr>
            <xdr:cNvPr id="10266" name="Check Box 26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4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68580</xdr:rowOff>
        </xdr:from>
        <xdr:to>
          <xdr:col>1</xdr:col>
          <xdr:colOff>327660</xdr:colOff>
          <xdr:row>59</xdr:row>
          <xdr:rowOff>220980</xdr:rowOff>
        </xdr:to>
        <xdr:sp macro="" textlink="">
          <xdr:nvSpPr>
            <xdr:cNvPr id="10267" name="Check Box 27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04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68580</xdr:rowOff>
        </xdr:from>
        <xdr:to>
          <xdr:col>1</xdr:col>
          <xdr:colOff>327660</xdr:colOff>
          <xdr:row>61</xdr:row>
          <xdr:rowOff>220980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4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68580</xdr:rowOff>
        </xdr:from>
        <xdr:to>
          <xdr:col>1</xdr:col>
          <xdr:colOff>327660</xdr:colOff>
          <xdr:row>64</xdr:row>
          <xdr:rowOff>220980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4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68580</xdr:rowOff>
        </xdr:from>
        <xdr:to>
          <xdr:col>1</xdr:col>
          <xdr:colOff>327660</xdr:colOff>
          <xdr:row>65</xdr:row>
          <xdr:rowOff>220980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4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68580</xdr:rowOff>
        </xdr:from>
        <xdr:to>
          <xdr:col>1</xdr:col>
          <xdr:colOff>327660</xdr:colOff>
          <xdr:row>66</xdr:row>
          <xdr:rowOff>220980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4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68580</xdr:rowOff>
        </xdr:from>
        <xdr:to>
          <xdr:col>1</xdr:col>
          <xdr:colOff>327660</xdr:colOff>
          <xdr:row>67</xdr:row>
          <xdr:rowOff>220980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4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68580</xdr:rowOff>
        </xdr:from>
        <xdr:to>
          <xdr:col>1</xdr:col>
          <xdr:colOff>327660</xdr:colOff>
          <xdr:row>68</xdr:row>
          <xdr:rowOff>220980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04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68580</xdr:rowOff>
        </xdr:from>
        <xdr:to>
          <xdr:col>1</xdr:col>
          <xdr:colOff>327660</xdr:colOff>
          <xdr:row>71</xdr:row>
          <xdr:rowOff>220980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  <a:ext uri="{FF2B5EF4-FFF2-40B4-BE49-F238E27FC236}">
                  <a16:creationId xmlns:a16="http://schemas.microsoft.com/office/drawing/2014/main" id="{00000000-0008-0000-0400-00002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68580</xdr:rowOff>
        </xdr:from>
        <xdr:to>
          <xdr:col>1</xdr:col>
          <xdr:colOff>327660</xdr:colOff>
          <xdr:row>72</xdr:row>
          <xdr:rowOff>220980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04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68580</xdr:rowOff>
        </xdr:from>
        <xdr:to>
          <xdr:col>1</xdr:col>
          <xdr:colOff>327660</xdr:colOff>
          <xdr:row>73</xdr:row>
          <xdr:rowOff>220980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04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68580</xdr:rowOff>
        </xdr:from>
        <xdr:to>
          <xdr:col>1</xdr:col>
          <xdr:colOff>327660</xdr:colOff>
          <xdr:row>75</xdr:row>
          <xdr:rowOff>220980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04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68580</xdr:rowOff>
        </xdr:from>
        <xdr:to>
          <xdr:col>2</xdr:col>
          <xdr:colOff>327660</xdr:colOff>
          <xdr:row>15</xdr:row>
          <xdr:rowOff>220980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  <a:ext uri="{FF2B5EF4-FFF2-40B4-BE49-F238E27FC236}">
                  <a16:creationId xmlns:a16="http://schemas.microsoft.com/office/drawing/2014/main" id="{00000000-0008-0000-0400-00002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68580</xdr:rowOff>
        </xdr:from>
        <xdr:to>
          <xdr:col>2</xdr:col>
          <xdr:colOff>327660</xdr:colOff>
          <xdr:row>16</xdr:row>
          <xdr:rowOff>220980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  <a:ext uri="{FF2B5EF4-FFF2-40B4-BE49-F238E27FC236}">
                  <a16:creationId xmlns:a16="http://schemas.microsoft.com/office/drawing/2014/main" id="{00000000-0008-0000-0400-00002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68580</xdr:rowOff>
        </xdr:from>
        <xdr:to>
          <xdr:col>2</xdr:col>
          <xdr:colOff>327660</xdr:colOff>
          <xdr:row>19</xdr:row>
          <xdr:rowOff>220980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  <a:ext uri="{FF2B5EF4-FFF2-40B4-BE49-F238E27FC236}">
                  <a16:creationId xmlns:a16="http://schemas.microsoft.com/office/drawing/2014/main" id="{00000000-0008-0000-0400-00002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68580</xdr:rowOff>
        </xdr:from>
        <xdr:to>
          <xdr:col>2</xdr:col>
          <xdr:colOff>327660</xdr:colOff>
          <xdr:row>22</xdr:row>
          <xdr:rowOff>220980</xdr:rowOff>
        </xdr:to>
        <xdr:sp macro="" textlink=""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  <a:ext uri="{FF2B5EF4-FFF2-40B4-BE49-F238E27FC236}">
                  <a16:creationId xmlns:a16="http://schemas.microsoft.com/office/drawing/2014/main" id="{00000000-0008-0000-0400-00002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68580</xdr:rowOff>
        </xdr:from>
        <xdr:to>
          <xdr:col>2</xdr:col>
          <xdr:colOff>327660</xdr:colOff>
          <xdr:row>23</xdr:row>
          <xdr:rowOff>220980</xdr:rowOff>
        </xdr:to>
        <xdr:sp macro="" textlink=""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  <a:ext uri="{FF2B5EF4-FFF2-40B4-BE49-F238E27FC236}">
                  <a16:creationId xmlns:a16="http://schemas.microsoft.com/office/drawing/2014/main" id="{00000000-0008-0000-0400-00002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68580</xdr:rowOff>
        </xdr:from>
        <xdr:to>
          <xdr:col>2</xdr:col>
          <xdr:colOff>327660</xdr:colOff>
          <xdr:row>24</xdr:row>
          <xdr:rowOff>220980</xdr:rowOff>
        </xdr:to>
        <xdr:sp macro="" textlink=""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  <a:ext uri="{FF2B5EF4-FFF2-40B4-BE49-F238E27FC236}">
                  <a16:creationId xmlns:a16="http://schemas.microsoft.com/office/drawing/2014/main" id="{00000000-0008-0000-0400-00002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68580</xdr:rowOff>
        </xdr:from>
        <xdr:to>
          <xdr:col>2</xdr:col>
          <xdr:colOff>327660</xdr:colOff>
          <xdr:row>26</xdr:row>
          <xdr:rowOff>220980</xdr:rowOff>
        </xdr:to>
        <xdr:sp macro="" textlink="">
          <xdr:nvSpPr>
            <xdr:cNvPr id="10284" name="Check Box 44" hidden="1">
              <a:extLst>
                <a:ext uri="{63B3BB69-23CF-44E3-9099-C40C66FF867C}">
                  <a14:compatExt spid="_x0000_s10284"/>
                </a:ext>
                <a:ext uri="{FF2B5EF4-FFF2-40B4-BE49-F238E27FC236}">
                  <a16:creationId xmlns:a16="http://schemas.microsoft.com/office/drawing/2014/main" id="{00000000-0008-0000-0400-00002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68580</xdr:rowOff>
        </xdr:from>
        <xdr:to>
          <xdr:col>2</xdr:col>
          <xdr:colOff>327660</xdr:colOff>
          <xdr:row>29</xdr:row>
          <xdr:rowOff>220980</xdr:rowOff>
        </xdr:to>
        <xdr:sp macro="" textlink="">
          <xdr:nvSpPr>
            <xdr:cNvPr id="10285" name="Check Box 45" hidden="1">
              <a:extLst>
                <a:ext uri="{63B3BB69-23CF-44E3-9099-C40C66FF867C}">
                  <a14:compatExt spid="_x0000_s10285"/>
                </a:ext>
                <a:ext uri="{FF2B5EF4-FFF2-40B4-BE49-F238E27FC236}">
                  <a16:creationId xmlns:a16="http://schemas.microsoft.com/office/drawing/2014/main" id="{00000000-0008-0000-0400-00002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68580</xdr:rowOff>
        </xdr:from>
        <xdr:to>
          <xdr:col>2</xdr:col>
          <xdr:colOff>327660</xdr:colOff>
          <xdr:row>30</xdr:row>
          <xdr:rowOff>220980</xdr:rowOff>
        </xdr:to>
        <xdr:sp macro="" textlink="">
          <xdr:nvSpPr>
            <xdr:cNvPr id="10286" name="Check Box 46" hidden="1">
              <a:extLst>
                <a:ext uri="{63B3BB69-23CF-44E3-9099-C40C66FF867C}">
                  <a14:compatExt spid="_x0000_s10286"/>
                </a:ext>
                <a:ext uri="{FF2B5EF4-FFF2-40B4-BE49-F238E27FC236}">
                  <a16:creationId xmlns:a16="http://schemas.microsoft.com/office/drawing/2014/main" id="{00000000-0008-0000-0400-00002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68580</xdr:rowOff>
        </xdr:from>
        <xdr:to>
          <xdr:col>2</xdr:col>
          <xdr:colOff>327660</xdr:colOff>
          <xdr:row>31</xdr:row>
          <xdr:rowOff>220980</xdr:rowOff>
        </xdr:to>
        <xdr:sp macro="" textlink="">
          <xdr:nvSpPr>
            <xdr:cNvPr id="10287" name="Check Box 47" hidden="1">
              <a:extLst>
                <a:ext uri="{63B3BB69-23CF-44E3-9099-C40C66FF867C}">
                  <a14:compatExt spid="_x0000_s10287"/>
                </a:ext>
                <a:ext uri="{FF2B5EF4-FFF2-40B4-BE49-F238E27FC236}">
                  <a16:creationId xmlns:a16="http://schemas.microsoft.com/office/drawing/2014/main" id="{00000000-0008-0000-0400-00002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68580</xdr:rowOff>
        </xdr:from>
        <xdr:to>
          <xdr:col>2</xdr:col>
          <xdr:colOff>327660</xdr:colOff>
          <xdr:row>33</xdr:row>
          <xdr:rowOff>220980</xdr:rowOff>
        </xdr:to>
        <xdr:sp macro="" textlink="">
          <xdr:nvSpPr>
            <xdr:cNvPr id="10288" name="Check Box 48" hidden="1">
              <a:extLst>
                <a:ext uri="{63B3BB69-23CF-44E3-9099-C40C66FF867C}">
                  <a14:compatExt spid="_x0000_s10288"/>
                </a:ext>
                <a:ext uri="{FF2B5EF4-FFF2-40B4-BE49-F238E27FC236}">
                  <a16:creationId xmlns:a16="http://schemas.microsoft.com/office/drawing/2014/main" id="{00000000-0008-0000-0400-00003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68580</xdr:rowOff>
        </xdr:from>
        <xdr:to>
          <xdr:col>2</xdr:col>
          <xdr:colOff>327660</xdr:colOff>
          <xdr:row>36</xdr:row>
          <xdr:rowOff>220980</xdr:rowOff>
        </xdr:to>
        <xdr:sp macro="" textlink="">
          <xdr:nvSpPr>
            <xdr:cNvPr id="10289" name="Check Box 49" hidden="1">
              <a:extLst>
                <a:ext uri="{63B3BB69-23CF-44E3-9099-C40C66FF867C}">
                  <a14:compatExt spid="_x0000_s10289"/>
                </a:ext>
                <a:ext uri="{FF2B5EF4-FFF2-40B4-BE49-F238E27FC236}">
                  <a16:creationId xmlns:a16="http://schemas.microsoft.com/office/drawing/2014/main" id="{00000000-0008-0000-0400-00003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68580</xdr:rowOff>
        </xdr:from>
        <xdr:to>
          <xdr:col>2</xdr:col>
          <xdr:colOff>327660</xdr:colOff>
          <xdr:row>37</xdr:row>
          <xdr:rowOff>220980</xdr:rowOff>
        </xdr:to>
        <xdr:sp macro="" textlink="">
          <xdr:nvSpPr>
            <xdr:cNvPr id="10290" name="Check Box 50" hidden="1">
              <a:extLst>
                <a:ext uri="{63B3BB69-23CF-44E3-9099-C40C66FF867C}">
                  <a14:compatExt spid="_x0000_s10290"/>
                </a:ext>
                <a:ext uri="{FF2B5EF4-FFF2-40B4-BE49-F238E27FC236}">
                  <a16:creationId xmlns:a16="http://schemas.microsoft.com/office/drawing/2014/main" id="{00000000-0008-0000-0400-00003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68580</xdr:rowOff>
        </xdr:from>
        <xdr:to>
          <xdr:col>2</xdr:col>
          <xdr:colOff>327660</xdr:colOff>
          <xdr:row>38</xdr:row>
          <xdr:rowOff>220980</xdr:rowOff>
        </xdr:to>
        <xdr:sp macro="" textlink="">
          <xdr:nvSpPr>
            <xdr:cNvPr id="10291" name="Check Box 51" hidden="1">
              <a:extLst>
                <a:ext uri="{63B3BB69-23CF-44E3-9099-C40C66FF867C}">
                  <a14:compatExt spid="_x0000_s10291"/>
                </a:ext>
                <a:ext uri="{FF2B5EF4-FFF2-40B4-BE49-F238E27FC236}">
                  <a16:creationId xmlns:a16="http://schemas.microsoft.com/office/drawing/2014/main" id="{00000000-0008-0000-0400-00003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68580</xdr:rowOff>
        </xdr:from>
        <xdr:to>
          <xdr:col>2</xdr:col>
          <xdr:colOff>327660</xdr:colOff>
          <xdr:row>40</xdr:row>
          <xdr:rowOff>220980</xdr:rowOff>
        </xdr:to>
        <xdr:sp macro="" textlink="">
          <xdr:nvSpPr>
            <xdr:cNvPr id="10292" name="Check Box 52" hidden="1">
              <a:extLst>
                <a:ext uri="{63B3BB69-23CF-44E3-9099-C40C66FF867C}">
                  <a14:compatExt spid="_x0000_s10292"/>
                </a:ext>
                <a:ext uri="{FF2B5EF4-FFF2-40B4-BE49-F238E27FC236}">
                  <a16:creationId xmlns:a16="http://schemas.microsoft.com/office/drawing/2014/main" id="{00000000-0008-0000-0400-00003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68580</xdr:rowOff>
        </xdr:from>
        <xdr:to>
          <xdr:col>2</xdr:col>
          <xdr:colOff>327660</xdr:colOff>
          <xdr:row>43</xdr:row>
          <xdr:rowOff>220980</xdr:rowOff>
        </xdr:to>
        <xdr:sp macro="" textlink="">
          <xdr:nvSpPr>
            <xdr:cNvPr id="10293" name="Check Box 53" hidden="1">
              <a:extLst>
                <a:ext uri="{63B3BB69-23CF-44E3-9099-C40C66FF867C}">
                  <a14:compatExt spid="_x0000_s10293"/>
                </a:ext>
                <a:ext uri="{FF2B5EF4-FFF2-40B4-BE49-F238E27FC236}">
                  <a16:creationId xmlns:a16="http://schemas.microsoft.com/office/drawing/2014/main" id="{00000000-0008-0000-0400-00003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68580</xdr:rowOff>
        </xdr:from>
        <xdr:to>
          <xdr:col>2</xdr:col>
          <xdr:colOff>327660</xdr:colOff>
          <xdr:row>44</xdr:row>
          <xdr:rowOff>220980</xdr:rowOff>
        </xdr:to>
        <xdr:sp macro="" textlink="">
          <xdr:nvSpPr>
            <xdr:cNvPr id="10294" name="Check Box 54" hidden="1">
              <a:extLst>
                <a:ext uri="{63B3BB69-23CF-44E3-9099-C40C66FF867C}">
                  <a14:compatExt spid="_x0000_s10294"/>
                </a:ext>
                <a:ext uri="{FF2B5EF4-FFF2-40B4-BE49-F238E27FC236}">
                  <a16:creationId xmlns:a16="http://schemas.microsoft.com/office/drawing/2014/main" id="{00000000-0008-0000-0400-00003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68580</xdr:rowOff>
        </xdr:from>
        <xdr:to>
          <xdr:col>2</xdr:col>
          <xdr:colOff>327660</xdr:colOff>
          <xdr:row>45</xdr:row>
          <xdr:rowOff>220980</xdr:rowOff>
        </xdr:to>
        <xdr:sp macro="" textlink="">
          <xdr:nvSpPr>
            <xdr:cNvPr id="10295" name="Check Box 55" hidden="1">
              <a:extLst>
                <a:ext uri="{63B3BB69-23CF-44E3-9099-C40C66FF867C}">
                  <a14:compatExt spid="_x0000_s10295"/>
                </a:ext>
                <a:ext uri="{FF2B5EF4-FFF2-40B4-BE49-F238E27FC236}">
                  <a16:creationId xmlns:a16="http://schemas.microsoft.com/office/drawing/2014/main" id="{00000000-0008-0000-0400-00003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68580</xdr:rowOff>
        </xdr:from>
        <xdr:to>
          <xdr:col>2</xdr:col>
          <xdr:colOff>327660</xdr:colOff>
          <xdr:row>47</xdr:row>
          <xdr:rowOff>220980</xdr:rowOff>
        </xdr:to>
        <xdr:sp macro="" textlink="">
          <xdr:nvSpPr>
            <xdr:cNvPr id="10296" name="Check Box 56" hidden="1">
              <a:extLst>
                <a:ext uri="{63B3BB69-23CF-44E3-9099-C40C66FF867C}">
                  <a14:compatExt spid="_x0000_s10296"/>
                </a:ext>
                <a:ext uri="{FF2B5EF4-FFF2-40B4-BE49-F238E27FC236}">
                  <a16:creationId xmlns:a16="http://schemas.microsoft.com/office/drawing/2014/main" id="{00000000-0008-0000-0400-00003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68580</xdr:rowOff>
        </xdr:from>
        <xdr:to>
          <xdr:col>2</xdr:col>
          <xdr:colOff>327660</xdr:colOff>
          <xdr:row>50</xdr:row>
          <xdr:rowOff>220980</xdr:rowOff>
        </xdr:to>
        <xdr:sp macro="" textlink="">
          <xdr:nvSpPr>
            <xdr:cNvPr id="10297" name="Check Box 57" hidden="1">
              <a:extLst>
                <a:ext uri="{63B3BB69-23CF-44E3-9099-C40C66FF867C}">
                  <a14:compatExt spid="_x0000_s10297"/>
                </a:ext>
                <a:ext uri="{FF2B5EF4-FFF2-40B4-BE49-F238E27FC236}">
                  <a16:creationId xmlns:a16="http://schemas.microsoft.com/office/drawing/2014/main" id="{00000000-0008-0000-0400-00003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68580</xdr:rowOff>
        </xdr:from>
        <xdr:to>
          <xdr:col>2</xdr:col>
          <xdr:colOff>327660</xdr:colOff>
          <xdr:row>51</xdr:row>
          <xdr:rowOff>220980</xdr:rowOff>
        </xdr:to>
        <xdr:sp macro="" textlink="">
          <xdr:nvSpPr>
            <xdr:cNvPr id="10298" name="Check Box 58" hidden="1">
              <a:extLst>
                <a:ext uri="{63B3BB69-23CF-44E3-9099-C40C66FF867C}">
                  <a14:compatExt spid="_x0000_s10298"/>
                </a:ext>
                <a:ext uri="{FF2B5EF4-FFF2-40B4-BE49-F238E27FC236}">
                  <a16:creationId xmlns:a16="http://schemas.microsoft.com/office/drawing/2014/main" id="{00000000-0008-0000-0400-00003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68580</xdr:rowOff>
        </xdr:from>
        <xdr:to>
          <xdr:col>2</xdr:col>
          <xdr:colOff>327660</xdr:colOff>
          <xdr:row>52</xdr:row>
          <xdr:rowOff>220980</xdr:rowOff>
        </xdr:to>
        <xdr:sp macro="" textlink="">
          <xdr:nvSpPr>
            <xdr:cNvPr id="10299" name="Check Box 59" hidden="1">
              <a:extLst>
                <a:ext uri="{63B3BB69-23CF-44E3-9099-C40C66FF867C}">
                  <a14:compatExt spid="_x0000_s10299"/>
                </a:ext>
                <a:ext uri="{FF2B5EF4-FFF2-40B4-BE49-F238E27FC236}">
                  <a16:creationId xmlns:a16="http://schemas.microsoft.com/office/drawing/2014/main" id="{00000000-0008-0000-0400-00003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68580</xdr:rowOff>
        </xdr:from>
        <xdr:to>
          <xdr:col>2</xdr:col>
          <xdr:colOff>327660</xdr:colOff>
          <xdr:row>53</xdr:row>
          <xdr:rowOff>220980</xdr:rowOff>
        </xdr:to>
        <xdr:sp macro="" textlink="">
          <xdr:nvSpPr>
            <xdr:cNvPr id="10300" name="Check Box 60" hidden="1">
              <a:extLst>
                <a:ext uri="{63B3BB69-23CF-44E3-9099-C40C66FF867C}">
                  <a14:compatExt spid="_x0000_s10300"/>
                </a:ext>
                <a:ext uri="{FF2B5EF4-FFF2-40B4-BE49-F238E27FC236}">
                  <a16:creationId xmlns:a16="http://schemas.microsoft.com/office/drawing/2014/main" id="{00000000-0008-0000-0400-00003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68580</xdr:rowOff>
        </xdr:from>
        <xdr:to>
          <xdr:col>2</xdr:col>
          <xdr:colOff>327660</xdr:colOff>
          <xdr:row>54</xdr:row>
          <xdr:rowOff>220980</xdr:rowOff>
        </xdr:to>
        <xdr:sp macro="" textlink="">
          <xdr:nvSpPr>
            <xdr:cNvPr id="10301" name="Check Box 61" hidden="1">
              <a:extLst>
                <a:ext uri="{63B3BB69-23CF-44E3-9099-C40C66FF867C}">
                  <a14:compatExt spid="_x0000_s10301"/>
                </a:ext>
                <a:ext uri="{FF2B5EF4-FFF2-40B4-BE49-F238E27FC236}">
                  <a16:creationId xmlns:a16="http://schemas.microsoft.com/office/drawing/2014/main" id="{00000000-0008-0000-0400-00003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68580</xdr:rowOff>
        </xdr:from>
        <xdr:to>
          <xdr:col>2</xdr:col>
          <xdr:colOff>327660</xdr:colOff>
          <xdr:row>57</xdr:row>
          <xdr:rowOff>220980</xdr:rowOff>
        </xdr:to>
        <xdr:sp macro="" textlink="">
          <xdr:nvSpPr>
            <xdr:cNvPr id="10302" name="Check Box 62" hidden="1">
              <a:extLst>
                <a:ext uri="{63B3BB69-23CF-44E3-9099-C40C66FF867C}">
                  <a14:compatExt spid="_x0000_s10302"/>
                </a:ext>
                <a:ext uri="{FF2B5EF4-FFF2-40B4-BE49-F238E27FC236}">
                  <a16:creationId xmlns:a16="http://schemas.microsoft.com/office/drawing/2014/main" id="{00000000-0008-0000-0400-00003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68580</xdr:rowOff>
        </xdr:from>
        <xdr:to>
          <xdr:col>2</xdr:col>
          <xdr:colOff>327660</xdr:colOff>
          <xdr:row>58</xdr:row>
          <xdr:rowOff>220980</xdr:rowOff>
        </xdr:to>
        <xdr:sp macro="" textlink="">
          <xdr:nvSpPr>
            <xdr:cNvPr id="10303" name="Check Box 63" hidden="1">
              <a:extLst>
                <a:ext uri="{63B3BB69-23CF-44E3-9099-C40C66FF867C}">
                  <a14:compatExt spid="_x0000_s10303"/>
                </a:ext>
                <a:ext uri="{FF2B5EF4-FFF2-40B4-BE49-F238E27FC236}">
                  <a16:creationId xmlns:a16="http://schemas.microsoft.com/office/drawing/2014/main" id="{00000000-0008-0000-0400-00003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68580</xdr:rowOff>
        </xdr:from>
        <xdr:to>
          <xdr:col>2</xdr:col>
          <xdr:colOff>327660</xdr:colOff>
          <xdr:row>59</xdr:row>
          <xdr:rowOff>220980</xdr:rowOff>
        </xdr:to>
        <xdr:sp macro="" textlink="">
          <xdr:nvSpPr>
            <xdr:cNvPr id="10304" name="Check Box 64" hidden="1">
              <a:extLst>
                <a:ext uri="{63B3BB69-23CF-44E3-9099-C40C66FF867C}">
                  <a14:compatExt spid="_x0000_s10304"/>
                </a:ext>
                <a:ext uri="{FF2B5EF4-FFF2-40B4-BE49-F238E27FC236}">
                  <a16:creationId xmlns:a16="http://schemas.microsoft.com/office/drawing/2014/main" id="{00000000-0008-0000-0400-00004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68580</xdr:rowOff>
        </xdr:from>
        <xdr:to>
          <xdr:col>2</xdr:col>
          <xdr:colOff>327660</xdr:colOff>
          <xdr:row>61</xdr:row>
          <xdr:rowOff>220980</xdr:rowOff>
        </xdr:to>
        <xdr:sp macro="" textlink="">
          <xdr:nvSpPr>
            <xdr:cNvPr id="10305" name="Check Box 65" hidden="1">
              <a:extLst>
                <a:ext uri="{63B3BB69-23CF-44E3-9099-C40C66FF867C}">
                  <a14:compatExt spid="_x0000_s10305"/>
                </a:ext>
                <a:ext uri="{FF2B5EF4-FFF2-40B4-BE49-F238E27FC236}">
                  <a16:creationId xmlns:a16="http://schemas.microsoft.com/office/drawing/2014/main" id="{00000000-0008-0000-0400-00004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68580</xdr:rowOff>
        </xdr:from>
        <xdr:to>
          <xdr:col>2</xdr:col>
          <xdr:colOff>327660</xdr:colOff>
          <xdr:row>64</xdr:row>
          <xdr:rowOff>220980</xdr:rowOff>
        </xdr:to>
        <xdr:sp macro="" textlink="">
          <xdr:nvSpPr>
            <xdr:cNvPr id="10306" name="Check Box 66" hidden="1">
              <a:extLst>
                <a:ext uri="{63B3BB69-23CF-44E3-9099-C40C66FF867C}">
                  <a14:compatExt spid="_x0000_s10306"/>
                </a:ext>
                <a:ext uri="{FF2B5EF4-FFF2-40B4-BE49-F238E27FC236}">
                  <a16:creationId xmlns:a16="http://schemas.microsoft.com/office/drawing/2014/main" id="{00000000-0008-0000-0400-00004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68580</xdr:rowOff>
        </xdr:from>
        <xdr:to>
          <xdr:col>2</xdr:col>
          <xdr:colOff>327660</xdr:colOff>
          <xdr:row>65</xdr:row>
          <xdr:rowOff>220980</xdr:rowOff>
        </xdr:to>
        <xdr:sp macro="" textlink="">
          <xdr:nvSpPr>
            <xdr:cNvPr id="10307" name="Check Box 67" hidden="1">
              <a:extLst>
                <a:ext uri="{63B3BB69-23CF-44E3-9099-C40C66FF867C}">
                  <a14:compatExt spid="_x0000_s10307"/>
                </a:ext>
                <a:ext uri="{FF2B5EF4-FFF2-40B4-BE49-F238E27FC236}">
                  <a16:creationId xmlns:a16="http://schemas.microsoft.com/office/drawing/2014/main" id="{00000000-0008-0000-0400-00004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68580</xdr:rowOff>
        </xdr:from>
        <xdr:to>
          <xdr:col>2</xdr:col>
          <xdr:colOff>327660</xdr:colOff>
          <xdr:row>66</xdr:row>
          <xdr:rowOff>220980</xdr:rowOff>
        </xdr:to>
        <xdr:sp macro="" textlink="">
          <xdr:nvSpPr>
            <xdr:cNvPr id="10308" name="Check Box 68" hidden="1">
              <a:extLst>
                <a:ext uri="{63B3BB69-23CF-44E3-9099-C40C66FF867C}">
                  <a14:compatExt spid="_x0000_s10308"/>
                </a:ext>
                <a:ext uri="{FF2B5EF4-FFF2-40B4-BE49-F238E27FC236}">
                  <a16:creationId xmlns:a16="http://schemas.microsoft.com/office/drawing/2014/main" id="{00000000-0008-0000-0400-00004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68580</xdr:rowOff>
        </xdr:from>
        <xdr:to>
          <xdr:col>2</xdr:col>
          <xdr:colOff>327660</xdr:colOff>
          <xdr:row>67</xdr:row>
          <xdr:rowOff>220980</xdr:rowOff>
        </xdr:to>
        <xdr:sp macro="" textlink="">
          <xdr:nvSpPr>
            <xdr:cNvPr id="10309" name="Check Box 69" hidden="1">
              <a:extLst>
                <a:ext uri="{63B3BB69-23CF-44E3-9099-C40C66FF867C}">
                  <a14:compatExt spid="_x0000_s10309"/>
                </a:ext>
                <a:ext uri="{FF2B5EF4-FFF2-40B4-BE49-F238E27FC236}">
                  <a16:creationId xmlns:a16="http://schemas.microsoft.com/office/drawing/2014/main" id="{00000000-0008-0000-0400-00004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68580</xdr:rowOff>
        </xdr:from>
        <xdr:to>
          <xdr:col>2</xdr:col>
          <xdr:colOff>327660</xdr:colOff>
          <xdr:row>68</xdr:row>
          <xdr:rowOff>220980</xdr:rowOff>
        </xdr:to>
        <xdr:sp macro="" textlink="">
          <xdr:nvSpPr>
            <xdr:cNvPr id="10310" name="Check Box 70" hidden="1">
              <a:extLst>
                <a:ext uri="{63B3BB69-23CF-44E3-9099-C40C66FF867C}">
                  <a14:compatExt spid="_x0000_s10310"/>
                </a:ext>
                <a:ext uri="{FF2B5EF4-FFF2-40B4-BE49-F238E27FC236}">
                  <a16:creationId xmlns:a16="http://schemas.microsoft.com/office/drawing/2014/main" id="{00000000-0008-0000-0400-00004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68580</xdr:rowOff>
        </xdr:from>
        <xdr:to>
          <xdr:col>2</xdr:col>
          <xdr:colOff>327660</xdr:colOff>
          <xdr:row>71</xdr:row>
          <xdr:rowOff>220980</xdr:rowOff>
        </xdr:to>
        <xdr:sp macro="" textlink="">
          <xdr:nvSpPr>
            <xdr:cNvPr id="10311" name="Check Box 71" hidden="1">
              <a:extLst>
                <a:ext uri="{63B3BB69-23CF-44E3-9099-C40C66FF867C}">
                  <a14:compatExt spid="_x0000_s10311"/>
                </a:ext>
                <a:ext uri="{FF2B5EF4-FFF2-40B4-BE49-F238E27FC236}">
                  <a16:creationId xmlns:a16="http://schemas.microsoft.com/office/drawing/2014/main" id="{00000000-0008-0000-0400-00004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68580</xdr:rowOff>
        </xdr:from>
        <xdr:to>
          <xdr:col>2</xdr:col>
          <xdr:colOff>327660</xdr:colOff>
          <xdr:row>72</xdr:row>
          <xdr:rowOff>220980</xdr:rowOff>
        </xdr:to>
        <xdr:sp macro="" textlink="">
          <xdr:nvSpPr>
            <xdr:cNvPr id="10312" name="Check Box 72" hidden="1">
              <a:extLst>
                <a:ext uri="{63B3BB69-23CF-44E3-9099-C40C66FF867C}">
                  <a14:compatExt spid="_x0000_s10312"/>
                </a:ext>
                <a:ext uri="{FF2B5EF4-FFF2-40B4-BE49-F238E27FC236}">
                  <a16:creationId xmlns:a16="http://schemas.microsoft.com/office/drawing/2014/main" id="{00000000-0008-0000-0400-00004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68580</xdr:rowOff>
        </xdr:from>
        <xdr:to>
          <xdr:col>2</xdr:col>
          <xdr:colOff>327660</xdr:colOff>
          <xdr:row>73</xdr:row>
          <xdr:rowOff>220980</xdr:rowOff>
        </xdr:to>
        <xdr:sp macro="" textlink="">
          <xdr:nvSpPr>
            <xdr:cNvPr id="10313" name="Check Box 73" hidden="1">
              <a:extLst>
                <a:ext uri="{63B3BB69-23CF-44E3-9099-C40C66FF867C}">
                  <a14:compatExt spid="_x0000_s10313"/>
                </a:ext>
                <a:ext uri="{FF2B5EF4-FFF2-40B4-BE49-F238E27FC236}">
                  <a16:creationId xmlns:a16="http://schemas.microsoft.com/office/drawing/2014/main" id="{00000000-0008-0000-0400-00004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68580</xdr:rowOff>
        </xdr:from>
        <xdr:to>
          <xdr:col>2</xdr:col>
          <xdr:colOff>327660</xdr:colOff>
          <xdr:row>75</xdr:row>
          <xdr:rowOff>220980</xdr:rowOff>
        </xdr:to>
        <xdr:sp macro="" textlink="">
          <xdr:nvSpPr>
            <xdr:cNvPr id="10314" name="Check Box 74" hidden="1">
              <a:extLst>
                <a:ext uri="{63B3BB69-23CF-44E3-9099-C40C66FF867C}">
                  <a14:compatExt spid="_x0000_s10314"/>
                </a:ext>
                <a:ext uri="{FF2B5EF4-FFF2-40B4-BE49-F238E27FC236}">
                  <a16:creationId xmlns:a16="http://schemas.microsoft.com/office/drawing/2014/main" id="{00000000-0008-0000-0400-00004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1</xdr:col>
      <xdr:colOff>408940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694690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68580</xdr:rowOff>
        </xdr:from>
        <xdr:to>
          <xdr:col>1</xdr:col>
          <xdr:colOff>304800</xdr:colOff>
          <xdr:row>18</xdr:row>
          <xdr:rowOff>251460</xdr:rowOff>
        </xdr:to>
        <xdr:sp macro="" textlink="">
          <xdr:nvSpPr>
            <xdr:cNvPr id="10315" name="Check Box 75" hidden="1">
              <a:extLst>
                <a:ext uri="{63B3BB69-23CF-44E3-9099-C40C66FF867C}">
                  <a14:compatExt spid="_x0000_s10315"/>
                </a:ext>
                <a:ext uri="{FF2B5EF4-FFF2-40B4-BE49-F238E27FC236}">
                  <a16:creationId xmlns:a16="http://schemas.microsoft.com/office/drawing/2014/main" id="{00000000-0008-0000-0400-00004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68580</xdr:rowOff>
        </xdr:from>
        <xdr:to>
          <xdr:col>2</xdr:col>
          <xdr:colOff>327660</xdr:colOff>
          <xdr:row>18</xdr:row>
          <xdr:rowOff>220980</xdr:rowOff>
        </xdr:to>
        <xdr:sp macro="" textlink="">
          <xdr:nvSpPr>
            <xdr:cNvPr id="10316" name="Check Box 76" hidden="1">
              <a:extLst>
                <a:ext uri="{63B3BB69-23CF-44E3-9099-C40C66FF867C}">
                  <a14:compatExt spid="_x0000_s10316"/>
                </a:ext>
                <a:ext uri="{FF2B5EF4-FFF2-40B4-BE49-F238E27FC236}">
                  <a16:creationId xmlns:a16="http://schemas.microsoft.com/office/drawing/2014/main" id="{00000000-0008-0000-0400-00004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68580</xdr:rowOff>
        </xdr:from>
        <xdr:to>
          <xdr:col>1</xdr:col>
          <xdr:colOff>320040</xdr:colOff>
          <xdr:row>17</xdr:row>
          <xdr:rowOff>259080</xdr:rowOff>
        </xdr:to>
        <xdr:sp macro="" textlink="">
          <xdr:nvSpPr>
            <xdr:cNvPr id="10317" name="Check Box 77" hidden="1">
              <a:extLst>
                <a:ext uri="{63B3BB69-23CF-44E3-9099-C40C66FF867C}">
                  <a14:compatExt spid="_x0000_s10317"/>
                </a:ext>
                <a:ext uri="{FF2B5EF4-FFF2-40B4-BE49-F238E27FC236}">
                  <a16:creationId xmlns:a16="http://schemas.microsoft.com/office/drawing/2014/main" id="{00000000-0008-0000-0400-00004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68580</xdr:rowOff>
        </xdr:from>
        <xdr:to>
          <xdr:col>2</xdr:col>
          <xdr:colOff>327660</xdr:colOff>
          <xdr:row>17</xdr:row>
          <xdr:rowOff>220980</xdr:rowOff>
        </xdr:to>
        <xdr:sp macro="" textlink="">
          <xdr:nvSpPr>
            <xdr:cNvPr id="10318" name="Check Box 78" hidden="1">
              <a:extLst>
                <a:ext uri="{63B3BB69-23CF-44E3-9099-C40C66FF867C}">
                  <a14:compatExt spid="_x0000_s10318"/>
                </a:ext>
                <a:ext uri="{FF2B5EF4-FFF2-40B4-BE49-F238E27FC236}">
                  <a16:creationId xmlns:a16="http://schemas.microsoft.com/office/drawing/2014/main" id="{00000000-0008-0000-0400-00004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68580</xdr:rowOff>
        </xdr:from>
        <xdr:to>
          <xdr:col>1</xdr:col>
          <xdr:colOff>327660</xdr:colOff>
          <xdr:row>25</xdr:row>
          <xdr:rowOff>243840</xdr:rowOff>
        </xdr:to>
        <xdr:sp macro="" textlink="">
          <xdr:nvSpPr>
            <xdr:cNvPr id="10319" name="Check Box 79" hidden="1">
              <a:extLst>
                <a:ext uri="{63B3BB69-23CF-44E3-9099-C40C66FF867C}">
                  <a14:compatExt spid="_x0000_s10319"/>
                </a:ext>
                <a:ext uri="{FF2B5EF4-FFF2-40B4-BE49-F238E27FC236}">
                  <a16:creationId xmlns:a16="http://schemas.microsoft.com/office/drawing/2014/main" id="{00000000-0008-0000-0400-00004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68580</xdr:rowOff>
        </xdr:from>
        <xdr:to>
          <xdr:col>2</xdr:col>
          <xdr:colOff>327660</xdr:colOff>
          <xdr:row>25</xdr:row>
          <xdr:rowOff>220980</xdr:rowOff>
        </xdr:to>
        <xdr:sp macro="" textlink="">
          <xdr:nvSpPr>
            <xdr:cNvPr id="10320" name="Check Box 80" hidden="1">
              <a:extLst>
                <a:ext uri="{63B3BB69-23CF-44E3-9099-C40C66FF867C}">
                  <a14:compatExt spid="_x0000_s10320"/>
                </a:ext>
                <a:ext uri="{FF2B5EF4-FFF2-40B4-BE49-F238E27FC236}">
                  <a16:creationId xmlns:a16="http://schemas.microsoft.com/office/drawing/2014/main" id="{00000000-0008-0000-0400-00005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68580</xdr:rowOff>
        </xdr:from>
        <xdr:to>
          <xdr:col>1</xdr:col>
          <xdr:colOff>327660</xdr:colOff>
          <xdr:row>32</xdr:row>
          <xdr:rowOff>220980</xdr:rowOff>
        </xdr:to>
        <xdr:sp macro="" textlink="">
          <xdr:nvSpPr>
            <xdr:cNvPr id="10321" name="Check Box 81" hidden="1">
              <a:extLst>
                <a:ext uri="{63B3BB69-23CF-44E3-9099-C40C66FF867C}">
                  <a14:compatExt spid="_x0000_s10321"/>
                </a:ext>
                <a:ext uri="{FF2B5EF4-FFF2-40B4-BE49-F238E27FC236}">
                  <a16:creationId xmlns:a16="http://schemas.microsoft.com/office/drawing/2014/main" id="{00000000-0008-0000-0400-00005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68580</xdr:rowOff>
        </xdr:from>
        <xdr:to>
          <xdr:col>2</xdr:col>
          <xdr:colOff>327660</xdr:colOff>
          <xdr:row>32</xdr:row>
          <xdr:rowOff>220980</xdr:rowOff>
        </xdr:to>
        <xdr:sp macro="" textlink="">
          <xdr:nvSpPr>
            <xdr:cNvPr id="10322" name="Check Box 82" hidden="1">
              <a:extLst>
                <a:ext uri="{63B3BB69-23CF-44E3-9099-C40C66FF867C}">
                  <a14:compatExt spid="_x0000_s10322"/>
                </a:ext>
                <a:ext uri="{FF2B5EF4-FFF2-40B4-BE49-F238E27FC236}">
                  <a16:creationId xmlns:a16="http://schemas.microsoft.com/office/drawing/2014/main" id="{00000000-0008-0000-0400-00005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68580</xdr:rowOff>
        </xdr:from>
        <xdr:to>
          <xdr:col>1</xdr:col>
          <xdr:colOff>327660</xdr:colOff>
          <xdr:row>39</xdr:row>
          <xdr:rowOff>220980</xdr:rowOff>
        </xdr:to>
        <xdr:sp macro="" textlink="">
          <xdr:nvSpPr>
            <xdr:cNvPr id="10323" name="Check Box 83" hidden="1">
              <a:extLst>
                <a:ext uri="{63B3BB69-23CF-44E3-9099-C40C66FF867C}">
                  <a14:compatExt spid="_x0000_s10323"/>
                </a:ext>
                <a:ext uri="{FF2B5EF4-FFF2-40B4-BE49-F238E27FC236}">
                  <a16:creationId xmlns:a16="http://schemas.microsoft.com/office/drawing/2014/main" id="{00000000-0008-0000-0400-00005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68580</xdr:rowOff>
        </xdr:from>
        <xdr:to>
          <xdr:col>2</xdr:col>
          <xdr:colOff>327660</xdr:colOff>
          <xdr:row>39</xdr:row>
          <xdr:rowOff>220980</xdr:rowOff>
        </xdr:to>
        <xdr:sp macro="" textlink="">
          <xdr:nvSpPr>
            <xdr:cNvPr id="10324" name="Check Box 84" hidden="1">
              <a:extLst>
                <a:ext uri="{63B3BB69-23CF-44E3-9099-C40C66FF867C}">
                  <a14:compatExt spid="_x0000_s10324"/>
                </a:ext>
                <a:ext uri="{FF2B5EF4-FFF2-40B4-BE49-F238E27FC236}">
                  <a16:creationId xmlns:a16="http://schemas.microsoft.com/office/drawing/2014/main" id="{00000000-0008-0000-0400-00005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68580</xdr:rowOff>
        </xdr:from>
        <xdr:to>
          <xdr:col>1</xdr:col>
          <xdr:colOff>327660</xdr:colOff>
          <xdr:row>46</xdr:row>
          <xdr:rowOff>220980</xdr:rowOff>
        </xdr:to>
        <xdr:sp macro="" textlink="">
          <xdr:nvSpPr>
            <xdr:cNvPr id="10325" name="Check Box 85" hidden="1">
              <a:extLst>
                <a:ext uri="{63B3BB69-23CF-44E3-9099-C40C66FF867C}">
                  <a14:compatExt spid="_x0000_s10325"/>
                </a:ext>
                <a:ext uri="{FF2B5EF4-FFF2-40B4-BE49-F238E27FC236}">
                  <a16:creationId xmlns:a16="http://schemas.microsoft.com/office/drawing/2014/main" id="{00000000-0008-0000-0400-00005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68580</xdr:rowOff>
        </xdr:from>
        <xdr:to>
          <xdr:col>2</xdr:col>
          <xdr:colOff>327660</xdr:colOff>
          <xdr:row>46</xdr:row>
          <xdr:rowOff>220980</xdr:rowOff>
        </xdr:to>
        <xdr:sp macro="" textlink="">
          <xdr:nvSpPr>
            <xdr:cNvPr id="10326" name="Check Box 86" hidden="1">
              <a:extLst>
                <a:ext uri="{63B3BB69-23CF-44E3-9099-C40C66FF867C}">
                  <a14:compatExt spid="_x0000_s10326"/>
                </a:ext>
                <a:ext uri="{FF2B5EF4-FFF2-40B4-BE49-F238E27FC236}">
                  <a16:creationId xmlns:a16="http://schemas.microsoft.com/office/drawing/2014/main" id="{00000000-0008-0000-0400-00005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68580</xdr:rowOff>
        </xdr:from>
        <xdr:to>
          <xdr:col>1</xdr:col>
          <xdr:colOff>327660</xdr:colOff>
          <xdr:row>60</xdr:row>
          <xdr:rowOff>220980</xdr:rowOff>
        </xdr:to>
        <xdr:sp macro="" textlink="">
          <xdr:nvSpPr>
            <xdr:cNvPr id="10327" name="Check Box 87" hidden="1">
              <a:extLst>
                <a:ext uri="{63B3BB69-23CF-44E3-9099-C40C66FF867C}">
                  <a14:compatExt spid="_x0000_s10327"/>
                </a:ext>
                <a:ext uri="{FF2B5EF4-FFF2-40B4-BE49-F238E27FC236}">
                  <a16:creationId xmlns:a16="http://schemas.microsoft.com/office/drawing/2014/main" id="{00000000-0008-0000-0400-00005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68580</xdr:rowOff>
        </xdr:from>
        <xdr:to>
          <xdr:col>2</xdr:col>
          <xdr:colOff>327660</xdr:colOff>
          <xdr:row>60</xdr:row>
          <xdr:rowOff>220980</xdr:rowOff>
        </xdr:to>
        <xdr:sp macro="" textlink="">
          <xdr:nvSpPr>
            <xdr:cNvPr id="10328" name="Check Box 88" hidden="1">
              <a:extLst>
                <a:ext uri="{63B3BB69-23CF-44E3-9099-C40C66FF867C}">
                  <a14:compatExt spid="_x0000_s10328"/>
                </a:ext>
                <a:ext uri="{FF2B5EF4-FFF2-40B4-BE49-F238E27FC236}">
                  <a16:creationId xmlns:a16="http://schemas.microsoft.com/office/drawing/2014/main" id="{00000000-0008-0000-0400-00005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68580</xdr:rowOff>
        </xdr:from>
        <xdr:to>
          <xdr:col>1</xdr:col>
          <xdr:colOff>327660</xdr:colOff>
          <xdr:row>74</xdr:row>
          <xdr:rowOff>220980</xdr:rowOff>
        </xdr:to>
        <xdr:sp macro="" textlink="">
          <xdr:nvSpPr>
            <xdr:cNvPr id="10329" name="Check Box 89" hidden="1">
              <a:extLst>
                <a:ext uri="{63B3BB69-23CF-44E3-9099-C40C66FF867C}">
                  <a14:compatExt spid="_x0000_s10329"/>
                </a:ext>
                <a:ext uri="{FF2B5EF4-FFF2-40B4-BE49-F238E27FC236}">
                  <a16:creationId xmlns:a16="http://schemas.microsoft.com/office/drawing/2014/main" id="{00000000-0008-0000-0400-00005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68580</xdr:rowOff>
        </xdr:from>
        <xdr:to>
          <xdr:col>2</xdr:col>
          <xdr:colOff>327660</xdr:colOff>
          <xdr:row>74</xdr:row>
          <xdr:rowOff>220980</xdr:rowOff>
        </xdr:to>
        <xdr:sp macro="" textlink="">
          <xdr:nvSpPr>
            <xdr:cNvPr id="10330" name="Check Box 90" hidden="1">
              <a:extLst>
                <a:ext uri="{63B3BB69-23CF-44E3-9099-C40C66FF867C}">
                  <a14:compatExt spid="_x0000_s10330"/>
                </a:ext>
                <a:ext uri="{FF2B5EF4-FFF2-40B4-BE49-F238E27FC236}">
                  <a16:creationId xmlns:a16="http://schemas.microsoft.com/office/drawing/2014/main" id="{00000000-0008-0000-0400-00005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68580</xdr:rowOff>
        </xdr:from>
        <xdr:to>
          <xdr:col>1</xdr:col>
          <xdr:colOff>327660</xdr:colOff>
          <xdr:row>15</xdr:row>
          <xdr:rowOff>220980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68580</xdr:rowOff>
        </xdr:from>
        <xdr:to>
          <xdr:col>1</xdr:col>
          <xdr:colOff>320040</xdr:colOff>
          <xdr:row>16</xdr:row>
          <xdr:rowOff>259080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5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68580</xdr:rowOff>
        </xdr:from>
        <xdr:to>
          <xdr:col>1</xdr:col>
          <xdr:colOff>297180</xdr:colOff>
          <xdr:row>19</xdr:row>
          <xdr:rowOff>259080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5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68580</xdr:rowOff>
        </xdr:from>
        <xdr:to>
          <xdr:col>1</xdr:col>
          <xdr:colOff>297180</xdr:colOff>
          <xdr:row>22</xdr:row>
          <xdr:rowOff>220980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5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68580</xdr:rowOff>
        </xdr:from>
        <xdr:to>
          <xdr:col>1</xdr:col>
          <xdr:colOff>281940</xdr:colOff>
          <xdr:row>23</xdr:row>
          <xdr:rowOff>243840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5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68580</xdr:rowOff>
        </xdr:from>
        <xdr:to>
          <xdr:col>1</xdr:col>
          <xdr:colOff>327660</xdr:colOff>
          <xdr:row>24</xdr:row>
          <xdr:rowOff>243840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5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68580</xdr:rowOff>
        </xdr:from>
        <xdr:to>
          <xdr:col>1</xdr:col>
          <xdr:colOff>297180</xdr:colOff>
          <xdr:row>26</xdr:row>
          <xdr:rowOff>228600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5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68580</xdr:rowOff>
        </xdr:from>
        <xdr:to>
          <xdr:col>1</xdr:col>
          <xdr:colOff>327660</xdr:colOff>
          <xdr:row>29</xdr:row>
          <xdr:rowOff>220980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5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68580</xdr:rowOff>
        </xdr:from>
        <xdr:to>
          <xdr:col>1</xdr:col>
          <xdr:colOff>327660</xdr:colOff>
          <xdr:row>30</xdr:row>
          <xdr:rowOff>220980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5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68580</xdr:rowOff>
        </xdr:from>
        <xdr:to>
          <xdr:col>1</xdr:col>
          <xdr:colOff>327660</xdr:colOff>
          <xdr:row>31</xdr:row>
          <xdr:rowOff>220980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5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68580</xdr:rowOff>
        </xdr:from>
        <xdr:to>
          <xdr:col>1</xdr:col>
          <xdr:colOff>327660</xdr:colOff>
          <xdr:row>33</xdr:row>
          <xdr:rowOff>220980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5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68580</xdr:rowOff>
        </xdr:from>
        <xdr:to>
          <xdr:col>1</xdr:col>
          <xdr:colOff>327660</xdr:colOff>
          <xdr:row>36</xdr:row>
          <xdr:rowOff>220980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5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68580</xdr:rowOff>
        </xdr:from>
        <xdr:to>
          <xdr:col>1</xdr:col>
          <xdr:colOff>327660</xdr:colOff>
          <xdr:row>37</xdr:row>
          <xdr:rowOff>220980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5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68580</xdr:rowOff>
        </xdr:from>
        <xdr:to>
          <xdr:col>1</xdr:col>
          <xdr:colOff>327660</xdr:colOff>
          <xdr:row>38</xdr:row>
          <xdr:rowOff>220980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5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68580</xdr:rowOff>
        </xdr:from>
        <xdr:to>
          <xdr:col>1</xdr:col>
          <xdr:colOff>327660</xdr:colOff>
          <xdr:row>40</xdr:row>
          <xdr:rowOff>220980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5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68580</xdr:rowOff>
        </xdr:from>
        <xdr:to>
          <xdr:col>1</xdr:col>
          <xdr:colOff>327660</xdr:colOff>
          <xdr:row>43</xdr:row>
          <xdr:rowOff>220980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5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68580</xdr:rowOff>
        </xdr:from>
        <xdr:to>
          <xdr:col>1</xdr:col>
          <xdr:colOff>327660</xdr:colOff>
          <xdr:row>44</xdr:row>
          <xdr:rowOff>220980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5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68580</xdr:rowOff>
        </xdr:from>
        <xdr:to>
          <xdr:col>1</xdr:col>
          <xdr:colOff>327660</xdr:colOff>
          <xdr:row>45</xdr:row>
          <xdr:rowOff>220980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5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68580</xdr:rowOff>
        </xdr:from>
        <xdr:to>
          <xdr:col>1</xdr:col>
          <xdr:colOff>327660</xdr:colOff>
          <xdr:row>47</xdr:row>
          <xdr:rowOff>220980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5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68580</xdr:rowOff>
        </xdr:from>
        <xdr:to>
          <xdr:col>1</xdr:col>
          <xdr:colOff>327660</xdr:colOff>
          <xdr:row>50</xdr:row>
          <xdr:rowOff>220980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5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68580</xdr:rowOff>
        </xdr:from>
        <xdr:to>
          <xdr:col>1</xdr:col>
          <xdr:colOff>327660</xdr:colOff>
          <xdr:row>51</xdr:row>
          <xdr:rowOff>220980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5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68580</xdr:rowOff>
        </xdr:from>
        <xdr:to>
          <xdr:col>1</xdr:col>
          <xdr:colOff>327660</xdr:colOff>
          <xdr:row>52</xdr:row>
          <xdr:rowOff>220980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5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68580</xdr:rowOff>
        </xdr:from>
        <xdr:to>
          <xdr:col>1</xdr:col>
          <xdr:colOff>327660</xdr:colOff>
          <xdr:row>53</xdr:row>
          <xdr:rowOff>220980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5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68580</xdr:rowOff>
        </xdr:from>
        <xdr:to>
          <xdr:col>1</xdr:col>
          <xdr:colOff>327660</xdr:colOff>
          <xdr:row>54</xdr:row>
          <xdr:rowOff>220980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5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68580</xdr:rowOff>
        </xdr:from>
        <xdr:to>
          <xdr:col>1</xdr:col>
          <xdr:colOff>327660</xdr:colOff>
          <xdr:row>57</xdr:row>
          <xdr:rowOff>220980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5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68580</xdr:rowOff>
        </xdr:from>
        <xdr:to>
          <xdr:col>1</xdr:col>
          <xdr:colOff>327660</xdr:colOff>
          <xdr:row>58</xdr:row>
          <xdr:rowOff>220980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5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68580</xdr:rowOff>
        </xdr:from>
        <xdr:to>
          <xdr:col>1</xdr:col>
          <xdr:colOff>327660</xdr:colOff>
          <xdr:row>59</xdr:row>
          <xdr:rowOff>220980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5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68580</xdr:rowOff>
        </xdr:from>
        <xdr:to>
          <xdr:col>1</xdr:col>
          <xdr:colOff>327660</xdr:colOff>
          <xdr:row>61</xdr:row>
          <xdr:rowOff>220980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5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68580</xdr:rowOff>
        </xdr:from>
        <xdr:to>
          <xdr:col>1</xdr:col>
          <xdr:colOff>327660</xdr:colOff>
          <xdr:row>64</xdr:row>
          <xdr:rowOff>220980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5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68580</xdr:rowOff>
        </xdr:from>
        <xdr:to>
          <xdr:col>1</xdr:col>
          <xdr:colOff>327660</xdr:colOff>
          <xdr:row>65</xdr:row>
          <xdr:rowOff>220980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5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68580</xdr:rowOff>
        </xdr:from>
        <xdr:to>
          <xdr:col>1</xdr:col>
          <xdr:colOff>327660</xdr:colOff>
          <xdr:row>66</xdr:row>
          <xdr:rowOff>220980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5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68580</xdr:rowOff>
        </xdr:from>
        <xdr:to>
          <xdr:col>1</xdr:col>
          <xdr:colOff>327660</xdr:colOff>
          <xdr:row>67</xdr:row>
          <xdr:rowOff>220980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5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68580</xdr:rowOff>
        </xdr:from>
        <xdr:to>
          <xdr:col>1</xdr:col>
          <xdr:colOff>327660</xdr:colOff>
          <xdr:row>68</xdr:row>
          <xdr:rowOff>220980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5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68580</xdr:rowOff>
        </xdr:from>
        <xdr:to>
          <xdr:col>1</xdr:col>
          <xdr:colOff>327660</xdr:colOff>
          <xdr:row>71</xdr:row>
          <xdr:rowOff>220980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5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68580</xdr:rowOff>
        </xdr:from>
        <xdr:to>
          <xdr:col>1</xdr:col>
          <xdr:colOff>327660</xdr:colOff>
          <xdr:row>72</xdr:row>
          <xdr:rowOff>220980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5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68580</xdr:rowOff>
        </xdr:from>
        <xdr:to>
          <xdr:col>1</xdr:col>
          <xdr:colOff>327660</xdr:colOff>
          <xdr:row>73</xdr:row>
          <xdr:rowOff>220980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5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68580</xdr:rowOff>
        </xdr:from>
        <xdr:to>
          <xdr:col>1</xdr:col>
          <xdr:colOff>327660</xdr:colOff>
          <xdr:row>75</xdr:row>
          <xdr:rowOff>220980</xdr:rowOff>
        </xdr:to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5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68580</xdr:rowOff>
        </xdr:from>
        <xdr:to>
          <xdr:col>2</xdr:col>
          <xdr:colOff>327660</xdr:colOff>
          <xdr:row>15</xdr:row>
          <xdr:rowOff>220980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5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68580</xdr:rowOff>
        </xdr:from>
        <xdr:to>
          <xdr:col>2</xdr:col>
          <xdr:colOff>327660</xdr:colOff>
          <xdr:row>16</xdr:row>
          <xdr:rowOff>220980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5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68580</xdr:rowOff>
        </xdr:from>
        <xdr:to>
          <xdr:col>2</xdr:col>
          <xdr:colOff>327660</xdr:colOff>
          <xdr:row>19</xdr:row>
          <xdr:rowOff>220980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5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68580</xdr:rowOff>
        </xdr:from>
        <xdr:to>
          <xdr:col>2</xdr:col>
          <xdr:colOff>327660</xdr:colOff>
          <xdr:row>22</xdr:row>
          <xdr:rowOff>220980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5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68580</xdr:rowOff>
        </xdr:from>
        <xdr:to>
          <xdr:col>2</xdr:col>
          <xdr:colOff>327660</xdr:colOff>
          <xdr:row>23</xdr:row>
          <xdr:rowOff>220980</xdr:rowOff>
        </xdr:to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5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68580</xdr:rowOff>
        </xdr:from>
        <xdr:to>
          <xdr:col>2</xdr:col>
          <xdr:colOff>327660</xdr:colOff>
          <xdr:row>24</xdr:row>
          <xdr:rowOff>220980</xdr:rowOff>
        </xdr:to>
        <xdr:sp macro="" textlink="">
          <xdr:nvSpPr>
            <xdr:cNvPr id="11307" name="Check Box 43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5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68580</xdr:rowOff>
        </xdr:from>
        <xdr:to>
          <xdr:col>2</xdr:col>
          <xdr:colOff>327660</xdr:colOff>
          <xdr:row>26</xdr:row>
          <xdr:rowOff>220980</xdr:rowOff>
        </xdr:to>
        <xdr:sp macro="" textlink="">
          <xdr:nvSpPr>
            <xdr:cNvPr id="11308" name="Check Box 44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5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68580</xdr:rowOff>
        </xdr:from>
        <xdr:to>
          <xdr:col>2</xdr:col>
          <xdr:colOff>327660</xdr:colOff>
          <xdr:row>29</xdr:row>
          <xdr:rowOff>220980</xdr:rowOff>
        </xdr:to>
        <xdr:sp macro="" textlink="">
          <xdr:nvSpPr>
            <xdr:cNvPr id="11309" name="Check Box 45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5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68580</xdr:rowOff>
        </xdr:from>
        <xdr:to>
          <xdr:col>2</xdr:col>
          <xdr:colOff>327660</xdr:colOff>
          <xdr:row>30</xdr:row>
          <xdr:rowOff>220980</xdr:rowOff>
        </xdr:to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5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68580</xdr:rowOff>
        </xdr:from>
        <xdr:to>
          <xdr:col>2</xdr:col>
          <xdr:colOff>327660</xdr:colOff>
          <xdr:row>31</xdr:row>
          <xdr:rowOff>220980</xdr:rowOff>
        </xdr:to>
        <xdr:sp macro="" textlink="">
          <xdr:nvSpPr>
            <xdr:cNvPr id="11311" name="Check Box 47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5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68580</xdr:rowOff>
        </xdr:from>
        <xdr:to>
          <xdr:col>2</xdr:col>
          <xdr:colOff>327660</xdr:colOff>
          <xdr:row>33</xdr:row>
          <xdr:rowOff>220980</xdr:rowOff>
        </xdr:to>
        <xdr:sp macro="" textlink="">
          <xdr:nvSpPr>
            <xdr:cNvPr id="11312" name="Check Box 48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5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68580</xdr:rowOff>
        </xdr:from>
        <xdr:to>
          <xdr:col>2</xdr:col>
          <xdr:colOff>327660</xdr:colOff>
          <xdr:row>36</xdr:row>
          <xdr:rowOff>220980</xdr:rowOff>
        </xdr:to>
        <xdr:sp macro="" textlink="">
          <xdr:nvSpPr>
            <xdr:cNvPr id="11313" name="Check Box 49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5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68580</xdr:rowOff>
        </xdr:from>
        <xdr:to>
          <xdr:col>2</xdr:col>
          <xdr:colOff>327660</xdr:colOff>
          <xdr:row>37</xdr:row>
          <xdr:rowOff>220980</xdr:rowOff>
        </xdr:to>
        <xdr:sp macro="" textlink="">
          <xdr:nvSpPr>
            <xdr:cNvPr id="11314" name="Check Box 50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5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68580</xdr:rowOff>
        </xdr:from>
        <xdr:to>
          <xdr:col>2</xdr:col>
          <xdr:colOff>327660</xdr:colOff>
          <xdr:row>38</xdr:row>
          <xdr:rowOff>220980</xdr:rowOff>
        </xdr:to>
        <xdr:sp macro="" textlink="">
          <xdr:nvSpPr>
            <xdr:cNvPr id="11315" name="Check Box 51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5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68580</xdr:rowOff>
        </xdr:from>
        <xdr:to>
          <xdr:col>2</xdr:col>
          <xdr:colOff>327660</xdr:colOff>
          <xdr:row>40</xdr:row>
          <xdr:rowOff>220980</xdr:rowOff>
        </xdr:to>
        <xdr:sp macro="" textlink="">
          <xdr:nvSpPr>
            <xdr:cNvPr id="11316" name="Check Box 52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5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68580</xdr:rowOff>
        </xdr:from>
        <xdr:to>
          <xdr:col>2</xdr:col>
          <xdr:colOff>327660</xdr:colOff>
          <xdr:row>43</xdr:row>
          <xdr:rowOff>220980</xdr:rowOff>
        </xdr:to>
        <xdr:sp macro="" textlink="">
          <xdr:nvSpPr>
            <xdr:cNvPr id="11317" name="Check Box 53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5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68580</xdr:rowOff>
        </xdr:from>
        <xdr:to>
          <xdr:col>2</xdr:col>
          <xdr:colOff>327660</xdr:colOff>
          <xdr:row>44</xdr:row>
          <xdr:rowOff>220980</xdr:rowOff>
        </xdr:to>
        <xdr:sp macro="" textlink="">
          <xdr:nvSpPr>
            <xdr:cNvPr id="11318" name="Check Box 54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5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68580</xdr:rowOff>
        </xdr:from>
        <xdr:to>
          <xdr:col>2</xdr:col>
          <xdr:colOff>327660</xdr:colOff>
          <xdr:row>45</xdr:row>
          <xdr:rowOff>220980</xdr:rowOff>
        </xdr:to>
        <xdr:sp macro="" textlink="">
          <xdr:nvSpPr>
            <xdr:cNvPr id="11319" name="Check Box 55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5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68580</xdr:rowOff>
        </xdr:from>
        <xdr:to>
          <xdr:col>2</xdr:col>
          <xdr:colOff>327660</xdr:colOff>
          <xdr:row>47</xdr:row>
          <xdr:rowOff>220980</xdr:rowOff>
        </xdr:to>
        <xdr:sp macro="" textlink="">
          <xdr:nvSpPr>
            <xdr:cNvPr id="11320" name="Check Box 56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5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68580</xdr:rowOff>
        </xdr:from>
        <xdr:to>
          <xdr:col>2</xdr:col>
          <xdr:colOff>327660</xdr:colOff>
          <xdr:row>50</xdr:row>
          <xdr:rowOff>220980</xdr:rowOff>
        </xdr:to>
        <xdr:sp macro="" textlink="">
          <xdr:nvSpPr>
            <xdr:cNvPr id="11321" name="Check Box 57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5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68580</xdr:rowOff>
        </xdr:from>
        <xdr:to>
          <xdr:col>2</xdr:col>
          <xdr:colOff>327660</xdr:colOff>
          <xdr:row>51</xdr:row>
          <xdr:rowOff>220980</xdr:rowOff>
        </xdr:to>
        <xdr:sp macro="" textlink="">
          <xdr:nvSpPr>
            <xdr:cNvPr id="11322" name="Check Box 58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5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68580</xdr:rowOff>
        </xdr:from>
        <xdr:to>
          <xdr:col>2</xdr:col>
          <xdr:colOff>327660</xdr:colOff>
          <xdr:row>52</xdr:row>
          <xdr:rowOff>220980</xdr:rowOff>
        </xdr:to>
        <xdr:sp macro="" textlink="">
          <xdr:nvSpPr>
            <xdr:cNvPr id="11323" name="Check Box 59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5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68580</xdr:rowOff>
        </xdr:from>
        <xdr:to>
          <xdr:col>2</xdr:col>
          <xdr:colOff>327660</xdr:colOff>
          <xdr:row>53</xdr:row>
          <xdr:rowOff>220980</xdr:rowOff>
        </xdr:to>
        <xdr:sp macro="" textlink="">
          <xdr:nvSpPr>
            <xdr:cNvPr id="11324" name="Check Box 60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5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68580</xdr:rowOff>
        </xdr:from>
        <xdr:to>
          <xdr:col>2</xdr:col>
          <xdr:colOff>327660</xdr:colOff>
          <xdr:row>54</xdr:row>
          <xdr:rowOff>220980</xdr:rowOff>
        </xdr:to>
        <xdr:sp macro="" textlink="">
          <xdr:nvSpPr>
            <xdr:cNvPr id="11325" name="Check Box 61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5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68580</xdr:rowOff>
        </xdr:from>
        <xdr:to>
          <xdr:col>2</xdr:col>
          <xdr:colOff>327660</xdr:colOff>
          <xdr:row>57</xdr:row>
          <xdr:rowOff>220980</xdr:rowOff>
        </xdr:to>
        <xdr:sp macro="" textlink="">
          <xdr:nvSpPr>
            <xdr:cNvPr id="11326" name="Check Box 62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5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68580</xdr:rowOff>
        </xdr:from>
        <xdr:to>
          <xdr:col>2</xdr:col>
          <xdr:colOff>327660</xdr:colOff>
          <xdr:row>58</xdr:row>
          <xdr:rowOff>220980</xdr:rowOff>
        </xdr:to>
        <xdr:sp macro="" textlink="">
          <xdr:nvSpPr>
            <xdr:cNvPr id="11327" name="Check Box 63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5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68580</xdr:rowOff>
        </xdr:from>
        <xdr:to>
          <xdr:col>2</xdr:col>
          <xdr:colOff>327660</xdr:colOff>
          <xdr:row>59</xdr:row>
          <xdr:rowOff>220980</xdr:rowOff>
        </xdr:to>
        <xdr:sp macro="" textlink="">
          <xdr:nvSpPr>
            <xdr:cNvPr id="11328" name="Check Box 64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5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68580</xdr:rowOff>
        </xdr:from>
        <xdr:to>
          <xdr:col>2</xdr:col>
          <xdr:colOff>327660</xdr:colOff>
          <xdr:row>61</xdr:row>
          <xdr:rowOff>220980</xdr:rowOff>
        </xdr:to>
        <xdr:sp macro="" textlink="">
          <xdr:nvSpPr>
            <xdr:cNvPr id="11329" name="Check Box 65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5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68580</xdr:rowOff>
        </xdr:from>
        <xdr:to>
          <xdr:col>2</xdr:col>
          <xdr:colOff>327660</xdr:colOff>
          <xdr:row>64</xdr:row>
          <xdr:rowOff>220980</xdr:rowOff>
        </xdr:to>
        <xdr:sp macro="" textlink="">
          <xdr:nvSpPr>
            <xdr:cNvPr id="11330" name="Check Box 66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5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68580</xdr:rowOff>
        </xdr:from>
        <xdr:to>
          <xdr:col>2</xdr:col>
          <xdr:colOff>327660</xdr:colOff>
          <xdr:row>65</xdr:row>
          <xdr:rowOff>220980</xdr:rowOff>
        </xdr:to>
        <xdr:sp macro="" textlink="">
          <xdr:nvSpPr>
            <xdr:cNvPr id="11331" name="Check Box 67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5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68580</xdr:rowOff>
        </xdr:from>
        <xdr:to>
          <xdr:col>2</xdr:col>
          <xdr:colOff>327660</xdr:colOff>
          <xdr:row>66</xdr:row>
          <xdr:rowOff>220980</xdr:rowOff>
        </xdr:to>
        <xdr:sp macro="" textlink="">
          <xdr:nvSpPr>
            <xdr:cNvPr id="11332" name="Check Box 68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5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68580</xdr:rowOff>
        </xdr:from>
        <xdr:to>
          <xdr:col>2</xdr:col>
          <xdr:colOff>327660</xdr:colOff>
          <xdr:row>67</xdr:row>
          <xdr:rowOff>220980</xdr:rowOff>
        </xdr:to>
        <xdr:sp macro="" textlink="">
          <xdr:nvSpPr>
            <xdr:cNvPr id="11333" name="Check Box 69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5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68580</xdr:rowOff>
        </xdr:from>
        <xdr:to>
          <xdr:col>2</xdr:col>
          <xdr:colOff>327660</xdr:colOff>
          <xdr:row>68</xdr:row>
          <xdr:rowOff>220980</xdr:rowOff>
        </xdr:to>
        <xdr:sp macro="" textlink="">
          <xdr:nvSpPr>
            <xdr:cNvPr id="11334" name="Check Box 70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5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68580</xdr:rowOff>
        </xdr:from>
        <xdr:to>
          <xdr:col>2</xdr:col>
          <xdr:colOff>327660</xdr:colOff>
          <xdr:row>71</xdr:row>
          <xdr:rowOff>220980</xdr:rowOff>
        </xdr:to>
        <xdr:sp macro="" textlink="">
          <xdr:nvSpPr>
            <xdr:cNvPr id="11335" name="Check Box 71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5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68580</xdr:rowOff>
        </xdr:from>
        <xdr:to>
          <xdr:col>2</xdr:col>
          <xdr:colOff>327660</xdr:colOff>
          <xdr:row>72</xdr:row>
          <xdr:rowOff>220980</xdr:rowOff>
        </xdr:to>
        <xdr:sp macro="" textlink="">
          <xdr:nvSpPr>
            <xdr:cNvPr id="11336" name="Check Box 72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5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68580</xdr:rowOff>
        </xdr:from>
        <xdr:to>
          <xdr:col>2</xdr:col>
          <xdr:colOff>327660</xdr:colOff>
          <xdr:row>73</xdr:row>
          <xdr:rowOff>220980</xdr:rowOff>
        </xdr:to>
        <xdr:sp macro="" textlink="">
          <xdr:nvSpPr>
            <xdr:cNvPr id="11337" name="Check Box 73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5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68580</xdr:rowOff>
        </xdr:from>
        <xdr:to>
          <xdr:col>2</xdr:col>
          <xdr:colOff>327660</xdr:colOff>
          <xdr:row>75</xdr:row>
          <xdr:rowOff>220980</xdr:rowOff>
        </xdr:to>
        <xdr:sp macro="" textlink="">
          <xdr:nvSpPr>
            <xdr:cNvPr id="11338" name="Check Box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5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3187700</xdr:colOff>
      <xdr:row>0</xdr:row>
      <xdr:rowOff>0</xdr:rowOff>
    </xdr:from>
    <xdr:to>
      <xdr:col>1</xdr:col>
      <xdr:colOff>408940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694690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68580</xdr:rowOff>
        </xdr:from>
        <xdr:to>
          <xdr:col>1</xdr:col>
          <xdr:colOff>304800</xdr:colOff>
          <xdr:row>18</xdr:row>
          <xdr:rowOff>251460</xdr:rowOff>
        </xdr:to>
        <xdr:sp macro="" textlink="">
          <xdr:nvSpPr>
            <xdr:cNvPr id="11339" name="Check Box 75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5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68580</xdr:rowOff>
        </xdr:from>
        <xdr:to>
          <xdr:col>2</xdr:col>
          <xdr:colOff>327660</xdr:colOff>
          <xdr:row>18</xdr:row>
          <xdr:rowOff>220980</xdr:rowOff>
        </xdr:to>
        <xdr:sp macro="" textlink="">
          <xdr:nvSpPr>
            <xdr:cNvPr id="11340" name="Check Box 76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5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68580</xdr:rowOff>
        </xdr:from>
        <xdr:to>
          <xdr:col>1</xdr:col>
          <xdr:colOff>320040</xdr:colOff>
          <xdr:row>17</xdr:row>
          <xdr:rowOff>259080</xdr:rowOff>
        </xdr:to>
        <xdr:sp macro="" textlink="">
          <xdr:nvSpPr>
            <xdr:cNvPr id="11341" name="Check Box 77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5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68580</xdr:rowOff>
        </xdr:from>
        <xdr:to>
          <xdr:col>2</xdr:col>
          <xdr:colOff>327660</xdr:colOff>
          <xdr:row>17</xdr:row>
          <xdr:rowOff>220980</xdr:rowOff>
        </xdr:to>
        <xdr:sp macro="" textlink="">
          <xdr:nvSpPr>
            <xdr:cNvPr id="11342" name="Check Box 78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5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68580</xdr:rowOff>
        </xdr:from>
        <xdr:to>
          <xdr:col>1</xdr:col>
          <xdr:colOff>327660</xdr:colOff>
          <xdr:row>25</xdr:row>
          <xdr:rowOff>243840</xdr:rowOff>
        </xdr:to>
        <xdr:sp macro="" textlink="">
          <xdr:nvSpPr>
            <xdr:cNvPr id="11343" name="Check Box 79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5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68580</xdr:rowOff>
        </xdr:from>
        <xdr:to>
          <xdr:col>2</xdr:col>
          <xdr:colOff>327660</xdr:colOff>
          <xdr:row>25</xdr:row>
          <xdr:rowOff>220980</xdr:rowOff>
        </xdr:to>
        <xdr:sp macro="" textlink="">
          <xdr:nvSpPr>
            <xdr:cNvPr id="11344" name="Check Box 80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5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68580</xdr:rowOff>
        </xdr:from>
        <xdr:to>
          <xdr:col>1</xdr:col>
          <xdr:colOff>327660</xdr:colOff>
          <xdr:row>32</xdr:row>
          <xdr:rowOff>220980</xdr:rowOff>
        </xdr:to>
        <xdr:sp macro="" textlink="">
          <xdr:nvSpPr>
            <xdr:cNvPr id="11345" name="Check Box 81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5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68580</xdr:rowOff>
        </xdr:from>
        <xdr:to>
          <xdr:col>2</xdr:col>
          <xdr:colOff>327660</xdr:colOff>
          <xdr:row>32</xdr:row>
          <xdr:rowOff>220980</xdr:rowOff>
        </xdr:to>
        <xdr:sp macro="" textlink="">
          <xdr:nvSpPr>
            <xdr:cNvPr id="11346" name="Check Box 82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5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68580</xdr:rowOff>
        </xdr:from>
        <xdr:to>
          <xdr:col>1</xdr:col>
          <xdr:colOff>327660</xdr:colOff>
          <xdr:row>39</xdr:row>
          <xdr:rowOff>220980</xdr:rowOff>
        </xdr:to>
        <xdr:sp macro="" textlink="">
          <xdr:nvSpPr>
            <xdr:cNvPr id="11347" name="Check Box 83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5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68580</xdr:rowOff>
        </xdr:from>
        <xdr:to>
          <xdr:col>2</xdr:col>
          <xdr:colOff>327660</xdr:colOff>
          <xdr:row>39</xdr:row>
          <xdr:rowOff>220980</xdr:rowOff>
        </xdr:to>
        <xdr:sp macro="" textlink="">
          <xdr:nvSpPr>
            <xdr:cNvPr id="11348" name="Check Box 84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5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68580</xdr:rowOff>
        </xdr:from>
        <xdr:to>
          <xdr:col>1</xdr:col>
          <xdr:colOff>327660</xdr:colOff>
          <xdr:row>46</xdr:row>
          <xdr:rowOff>220980</xdr:rowOff>
        </xdr:to>
        <xdr:sp macro="" textlink="">
          <xdr:nvSpPr>
            <xdr:cNvPr id="11349" name="Check Box 85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5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68580</xdr:rowOff>
        </xdr:from>
        <xdr:to>
          <xdr:col>2</xdr:col>
          <xdr:colOff>327660</xdr:colOff>
          <xdr:row>46</xdr:row>
          <xdr:rowOff>220980</xdr:rowOff>
        </xdr:to>
        <xdr:sp macro="" textlink="">
          <xdr:nvSpPr>
            <xdr:cNvPr id="11350" name="Check Box 86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5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68580</xdr:rowOff>
        </xdr:from>
        <xdr:to>
          <xdr:col>1</xdr:col>
          <xdr:colOff>327660</xdr:colOff>
          <xdr:row>60</xdr:row>
          <xdr:rowOff>220980</xdr:rowOff>
        </xdr:to>
        <xdr:sp macro="" textlink="">
          <xdr:nvSpPr>
            <xdr:cNvPr id="11351" name="Check Box 87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5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68580</xdr:rowOff>
        </xdr:from>
        <xdr:to>
          <xdr:col>2</xdr:col>
          <xdr:colOff>327660</xdr:colOff>
          <xdr:row>60</xdr:row>
          <xdr:rowOff>220980</xdr:rowOff>
        </xdr:to>
        <xdr:sp macro="" textlink="">
          <xdr:nvSpPr>
            <xdr:cNvPr id="11352" name="Check Box 88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5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68580</xdr:rowOff>
        </xdr:from>
        <xdr:to>
          <xdr:col>1</xdr:col>
          <xdr:colOff>327660</xdr:colOff>
          <xdr:row>74</xdr:row>
          <xdr:rowOff>220980</xdr:rowOff>
        </xdr:to>
        <xdr:sp macro="" textlink="">
          <xdr:nvSpPr>
            <xdr:cNvPr id="11353" name="Check Box 89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5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68580</xdr:rowOff>
        </xdr:from>
        <xdr:to>
          <xdr:col>2</xdr:col>
          <xdr:colOff>327660</xdr:colOff>
          <xdr:row>74</xdr:row>
          <xdr:rowOff>220980</xdr:rowOff>
        </xdr:to>
        <xdr:sp macro="" textlink="">
          <xdr:nvSpPr>
            <xdr:cNvPr id="11354" name="Check Box 90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5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292100</xdr:colOff>
      <xdr:row>0</xdr:row>
      <xdr:rowOff>0</xdr:rowOff>
    </xdr:from>
    <xdr:to>
      <xdr:col>13</xdr:col>
      <xdr:colOff>167640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800" y="0"/>
          <a:ext cx="694690" cy="69469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6</xdr:row>
      <xdr:rowOff>19050</xdr:rowOff>
    </xdr:from>
    <xdr:to>
      <xdr:col>15</xdr:col>
      <xdr:colOff>177800</xdr:colOff>
      <xdr:row>7</xdr:row>
      <xdr:rowOff>12700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1009650"/>
          <a:ext cx="21526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13.xml"/><Relationship Id="rId21" Type="http://schemas.openxmlformats.org/officeDocument/2006/relationships/ctrlProp" Target="../ctrlProps/ctrlProp108.xml"/><Relationship Id="rId42" Type="http://schemas.openxmlformats.org/officeDocument/2006/relationships/ctrlProp" Target="../ctrlProps/ctrlProp129.xml"/><Relationship Id="rId47" Type="http://schemas.openxmlformats.org/officeDocument/2006/relationships/ctrlProp" Target="../ctrlProps/ctrlProp134.xml"/><Relationship Id="rId63" Type="http://schemas.openxmlformats.org/officeDocument/2006/relationships/ctrlProp" Target="../ctrlProps/ctrlProp150.xml"/><Relationship Id="rId68" Type="http://schemas.openxmlformats.org/officeDocument/2006/relationships/ctrlProp" Target="../ctrlProps/ctrlProp155.xml"/><Relationship Id="rId84" Type="http://schemas.openxmlformats.org/officeDocument/2006/relationships/ctrlProp" Target="../ctrlProps/ctrlProp171.xml"/><Relationship Id="rId89" Type="http://schemas.openxmlformats.org/officeDocument/2006/relationships/ctrlProp" Target="../ctrlProps/ctrlProp176.xml"/><Relationship Id="rId16" Type="http://schemas.openxmlformats.org/officeDocument/2006/relationships/ctrlProp" Target="../ctrlProps/ctrlProp103.xml"/><Relationship Id="rId11" Type="http://schemas.openxmlformats.org/officeDocument/2006/relationships/ctrlProp" Target="../ctrlProps/ctrlProp98.xml"/><Relationship Id="rId32" Type="http://schemas.openxmlformats.org/officeDocument/2006/relationships/ctrlProp" Target="../ctrlProps/ctrlProp119.xml"/><Relationship Id="rId37" Type="http://schemas.openxmlformats.org/officeDocument/2006/relationships/ctrlProp" Target="../ctrlProps/ctrlProp124.xml"/><Relationship Id="rId53" Type="http://schemas.openxmlformats.org/officeDocument/2006/relationships/ctrlProp" Target="../ctrlProps/ctrlProp140.xml"/><Relationship Id="rId58" Type="http://schemas.openxmlformats.org/officeDocument/2006/relationships/ctrlProp" Target="../ctrlProps/ctrlProp145.xml"/><Relationship Id="rId74" Type="http://schemas.openxmlformats.org/officeDocument/2006/relationships/ctrlProp" Target="../ctrlProps/ctrlProp161.xml"/><Relationship Id="rId79" Type="http://schemas.openxmlformats.org/officeDocument/2006/relationships/ctrlProp" Target="../ctrlProps/ctrlProp166.xml"/><Relationship Id="rId5" Type="http://schemas.openxmlformats.org/officeDocument/2006/relationships/ctrlProp" Target="../ctrlProps/ctrlProp92.xml"/><Relationship Id="rId90" Type="http://schemas.openxmlformats.org/officeDocument/2006/relationships/ctrlProp" Target="../ctrlProps/ctrlProp177.xml"/><Relationship Id="rId22" Type="http://schemas.openxmlformats.org/officeDocument/2006/relationships/ctrlProp" Target="../ctrlProps/ctrlProp109.xml"/><Relationship Id="rId27" Type="http://schemas.openxmlformats.org/officeDocument/2006/relationships/ctrlProp" Target="../ctrlProps/ctrlProp114.xml"/><Relationship Id="rId43" Type="http://schemas.openxmlformats.org/officeDocument/2006/relationships/ctrlProp" Target="../ctrlProps/ctrlProp130.xml"/><Relationship Id="rId48" Type="http://schemas.openxmlformats.org/officeDocument/2006/relationships/ctrlProp" Target="../ctrlProps/ctrlProp135.xml"/><Relationship Id="rId64" Type="http://schemas.openxmlformats.org/officeDocument/2006/relationships/ctrlProp" Target="../ctrlProps/ctrlProp151.xml"/><Relationship Id="rId69" Type="http://schemas.openxmlformats.org/officeDocument/2006/relationships/ctrlProp" Target="../ctrlProps/ctrlProp156.xml"/><Relationship Id="rId8" Type="http://schemas.openxmlformats.org/officeDocument/2006/relationships/ctrlProp" Target="../ctrlProps/ctrlProp95.xml"/><Relationship Id="rId51" Type="http://schemas.openxmlformats.org/officeDocument/2006/relationships/ctrlProp" Target="../ctrlProps/ctrlProp138.xml"/><Relationship Id="rId72" Type="http://schemas.openxmlformats.org/officeDocument/2006/relationships/ctrlProp" Target="../ctrlProps/ctrlProp159.xml"/><Relationship Id="rId80" Type="http://schemas.openxmlformats.org/officeDocument/2006/relationships/ctrlProp" Target="../ctrlProps/ctrlProp167.xml"/><Relationship Id="rId85" Type="http://schemas.openxmlformats.org/officeDocument/2006/relationships/ctrlProp" Target="../ctrlProps/ctrlProp172.xml"/><Relationship Id="rId93" Type="http://schemas.openxmlformats.org/officeDocument/2006/relationships/ctrlProp" Target="../ctrlProps/ctrlProp180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99.xml"/><Relationship Id="rId17" Type="http://schemas.openxmlformats.org/officeDocument/2006/relationships/ctrlProp" Target="../ctrlProps/ctrlProp104.xml"/><Relationship Id="rId25" Type="http://schemas.openxmlformats.org/officeDocument/2006/relationships/ctrlProp" Target="../ctrlProps/ctrlProp112.xml"/><Relationship Id="rId33" Type="http://schemas.openxmlformats.org/officeDocument/2006/relationships/ctrlProp" Target="../ctrlProps/ctrlProp120.xml"/><Relationship Id="rId38" Type="http://schemas.openxmlformats.org/officeDocument/2006/relationships/ctrlProp" Target="../ctrlProps/ctrlProp125.xml"/><Relationship Id="rId46" Type="http://schemas.openxmlformats.org/officeDocument/2006/relationships/ctrlProp" Target="../ctrlProps/ctrlProp133.xml"/><Relationship Id="rId59" Type="http://schemas.openxmlformats.org/officeDocument/2006/relationships/ctrlProp" Target="../ctrlProps/ctrlProp146.xml"/><Relationship Id="rId67" Type="http://schemas.openxmlformats.org/officeDocument/2006/relationships/ctrlProp" Target="../ctrlProps/ctrlProp154.xml"/><Relationship Id="rId20" Type="http://schemas.openxmlformats.org/officeDocument/2006/relationships/ctrlProp" Target="../ctrlProps/ctrlProp107.xml"/><Relationship Id="rId41" Type="http://schemas.openxmlformats.org/officeDocument/2006/relationships/ctrlProp" Target="../ctrlProps/ctrlProp128.xml"/><Relationship Id="rId54" Type="http://schemas.openxmlformats.org/officeDocument/2006/relationships/ctrlProp" Target="../ctrlProps/ctrlProp141.xml"/><Relationship Id="rId62" Type="http://schemas.openxmlformats.org/officeDocument/2006/relationships/ctrlProp" Target="../ctrlProps/ctrlProp149.xml"/><Relationship Id="rId70" Type="http://schemas.openxmlformats.org/officeDocument/2006/relationships/ctrlProp" Target="../ctrlProps/ctrlProp157.xml"/><Relationship Id="rId75" Type="http://schemas.openxmlformats.org/officeDocument/2006/relationships/ctrlProp" Target="../ctrlProps/ctrlProp162.xml"/><Relationship Id="rId83" Type="http://schemas.openxmlformats.org/officeDocument/2006/relationships/ctrlProp" Target="../ctrlProps/ctrlProp170.xml"/><Relationship Id="rId88" Type="http://schemas.openxmlformats.org/officeDocument/2006/relationships/ctrlProp" Target="../ctrlProps/ctrlProp175.xml"/><Relationship Id="rId91" Type="http://schemas.openxmlformats.org/officeDocument/2006/relationships/ctrlProp" Target="../ctrlProps/ctrlProp17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3.xml"/><Relationship Id="rId15" Type="http://schemas.openxmlformats.org/officeDocument/2006/relationships/ctrlProp" Target="../ctrlProps/ctrlProp102.xml"/><Relationship Id="rId23" Type="http://schemas.openxmlformats.org/officeDocument/2006/relationships/ctrlProp" Target="../ctrlProps/ctrlProp110.xml"/><Relationship Id="rId28" Type="http://schemas.openxmlformats.org/officeDocument/2006/relationships/ctrlProp" Target="../ctrlProps/ctrlProp115.xml"/><Relationship Id="rId36" Type="http://schemas.openxmlformats.org/officeDocument/2006/relationships/ctrlProp" Target="../ctrlProps/ctrlProp123.xml"/><Relationship Id="rId49" Type="http://schemas.openxmlformats.org/officeDocument/2006/relationships/ctrlProp" Target="../ctrlProps/ctrlProp136.xml"/><Relationship Id="rId57" Type="http://schemas.openxmlformats.org/officeDocument/2006/relationships/ctrlProp" Target="../ctrlProps/ctrlProp144.xml"/><Relationship Id="rId10" Type="http://schemas.openxmlformats.org/officeDocument/2006/relationships/ctrlProp" Target="../ctrlProps/ctrlProp97.xml"/><Relationship Id="rId31" Type="http://schemas.openxmlformats.org/officeDocument/2006/relationships/ctrlProp" Target="../ctrlProps/ctrlProp118.xml"/><Relationship Id="rId44" Type="http://schemas.openxmlformats.org/officeDocument/2006/relationships/ctrlProp" Target="../ctrlProps/ctrlProp131.xml"/><Relationship Id="rId52" Type="http://schemas.openxmlformats.org/officeDocument/2006/relationships/ctrlProp" Target="../ctrlProps/ctrlProp139.xml"/><Relationship Id="rId60" Type="http://schemas.openxmlformats.org/officeDocument/2006/relationships/ctrlProp" Target="../ctrlProps/ctrlProp147.xml"/><Relationship Id="rId65" Type="http://schemas.openxmlformats.org/officeDocument/2006/relationships/ctrlProp" Target="../ctrlProps/ctrlProp152.xml"/><Relationship Id="rId73" Type="http://schemas.openxmlformats.org/officeDocument/2006/relationships/ctrlProp" Target="../ctrlProps/ctrlProp160.xml"/><Relationship Id="rId78" Type="http://schemas.openxmlformats.org/officeDocument/2006/relationships/ctrlProp" Target="../ctrlProps/ctrlProp165.xml"/><Relationship Id="rId81" Type="http://schemas.openxmlformats.org/officeDocument/2006/relationships/ctrlProp" Target="../ctrlProps/ctrlProp168.xml"/><Relationship Id="rId86" Type="http://schemas.openxmlformats.org/officeDocument/2006/relationships/ctrlProp" Target="../ctrlProps/ctrlProp173.xml"/><Relationship Id="rId4" Type="http://schemas.openxmlformats.org/officeDocument/2006/relationships/ctrlProp" Target="../ctrlProps/ctrlProp91.xml"/><Relationship Id="rId9" Type="http://schemas.openxmlformats.org/officeDocument/2006/relationships/ctrlProp" Target="../ctrlProps/ctrlProp96.xml"/><Relationship Id="rId13" Type="http://schemas.openxmlformats.org/officeDocument/2006/relationships/ctrlProp" Target="../ctrlProps/ctrlProp100.xml"/><Relationship Id="rId18" Type="http://schemas.openxmlformats.org/officeDocument/2006/relationships/ctrlProp" Target="../ctrlProps/ctrlProp105.xml"/><Relationship Id="rId39" Type="http://schemas.openxmlformats.org/officeDocument/2006/relationships/ctrlProp" Target="../ctrlProps/ctrlProp126.xml"/><Relationship Id="rId34" Type="http://schemas.openxmlformats.org/officeDocument/2006/relationships/ctrlProp" Target="../ctrlProps/ctrlProp121.xml"/><Relationship Id="rId50" Type="http://schemas.openxmlformats.org/officeDocument/2006/relationships/ctrlProp" Target="../ctrlProps/ctrlProp137.xml"/><Relationship Id="rId55" Type="http://schemas.openxmlformats.org/officeDocument/2006/relationships/ctrlProp" Target="../ctrlProps/ctrlProp142.xml"/><Relationship Id="rId76" Type="http://schemas.openxmlformats.org/officeDocument/2006/relationships/ctrlProp" Target="../ctrlProps/ctrlProp163.xml"/><Relationship Id="rId7" Type="http://schemas.openxmlformats.org/officeDocument/2006/relationships/ctrlProp" Target="../ctrlProps/ctrlProp94.xml"/><Relationship Id="rId71" Type="http://schemas.openxmlformats.org/officeDocument/2006/relationships/ctrlProp" Target="../ctrlProps/ctrlProp158.xml"/><Relationship Id="rId92" Type="http://schemas.openxmlformats.org/officeDocument/2006/relationships/ctrlProp" Target="../ctrlProps/ctrlProp17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116.xml"/><Relationship Id="rId24" Type="http://schemas.openxmlformats.org/officeDocument/2006/relationships/ctrlProp" Target="../ctrlProps/ctrlProp111.xml"/><Relationship Id="rId40" Type="http://schemas.openxmlformats.org/officeDocument/2006/relationships/ctrlProp" Target="../ctrlProps/ctrlProp127.xml"/><Relationship Id="rId45" Type="http://schemas.openxmlformats.org/officeDocument/2006/relationships/ctrlProp" Target="../ctrlProps/ctrlProp132.xml"/><Relationship Id="rId66" Type="http://schemas.openxmlformats.org/officeDocument/2006/relationships/ctrlProp" Target="../ctrlProps/ctrlProp153.xml"/><Relationship Id="rId87" Type="http://schemas.openxmlformats.org/officeDocument/2006/relationships/ctrlProp" Target="../ctrlProps/ctrlProp174.xml"/><Relationship Id="rId61" Type="http://schemas.openxmlformats.org/officeDocument/2006/relationships/ctrlProp" Target="../ctrlProps/ctrlProp148.xml"/><Relationship Id="rId82" Type="http://schemas.openxmlformats.org/officeDocument/2006/relationships/ctrlProp" Target="../ctrlProps/ctrlProp169.xml"/><Relationship Id="rId19" Type="http://schemas.openxmlformats.org/officeDocument/2006/relationships/ctrlProp" Target="../ctrlProps/ctrlProp106.xml"/><Relationship Id="rId14" Type="http://schemas.openxmlformats.org/officeDocument/2006/relationships/ctrlProp" Target="../ctrlProps/ctrlProp101.xml"/><Relationship Id="rId30" Type="http://schemas.openxmlformats.org/officeDocument/2006/relationships/ctrlProp" Target="../ctrlProps/ctrlProp117.xml"/><Relationship Id="rId35" Type="http://schemas.openxmlformats.org/officeDocument/2006/relationships/ctrlProp" Target="../ctrlProps/ctrlProp122.xml"/><Relationship Id="rId56" Type="http://schemas.openxmlformats.org/officeDocument/2006/relationships/ctrlProp" Target="../ctrlProps/ctrlProp143.xml"/><Relationship Id="rId77" Type="http://schemas.openxmlformats.org/officeDocument/2006/relationships/ctrlProp" Target="../ctrlProps/ctrlProp164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03.xml"/><Relationship Id="rId21" Type="http://schemas.openxmlformats.org/officeDocument/2006/relationships/ctrlProp" Target="../ctrlProps/ctrlProp198.xml"/><Relationship Id="rId42" Type="http://schemas.openxmlformats.org/officeDocument/2006/relationships/ctrlProp" Target="../ctrlProps/ctrlProp219.xml"/><Relationship Id="rId47" Type="http://schemas.openxmlformats.org/officeDocument/2006/relationships/ctrlProp" Target="../ctrlProps/ctrlProp224.xml"/><Relationship Id="rId63" Type="http://schemas.openxmlformats.org/officeDocument/2006/relationships/ctrlProp" Target="../ctrlProps/ctrlProp240.xml"/><Relationship Id="rId68" Type="http://schemas.openxmlformats.org/officeDocument/2006/relationships/ctrlProp" Target="../ctrlProps/ctrlProp245.xml"/><Relationship Id="rId84" Type="http://schemas.openxmlformats.org/officeDocument/2006/relationships/ctrlProp" Target="../ctrlProps/ctrlProp261.xml"/><Relationship Id="rId89" Type="http://schemas.openxmlformats.org/officeDocument/2006/relationships/ctrlProp" Target="../ctrlProps/ctrlProp266.xml"/><Relationship Id="rId16" Type="http://schemas.openxmlformats.org/officeDocument/2006/relationships/ctrlProp" Target="../ctrlProps/ctrlProp193.xml"/><Relationship Id="rId11" Type="http://schemas.openxmlformats.org/officeDocument/2006/relationships/ctrlProp" Target="../ctrlProps/ctrlProp188.xml"/><Relationship Id="rId32" Type="http://schemas.openxmlformats.org/officeDocument/2006/relationships/ctrlProp" Target="../ctrlProps/ctrlProp209.xml"/><Relationship Id="rId37" Type="http://schemas.openxmlformats.org/officeDocument/2006/relationships/ctrlProp" Target="../ctrlProps/ctrlProp214.xml"/><Relationship Id="rId53" Type="http://schemas.openxmlformats.org/officeDocument/2006/relationships/ctrlProp" Target="../ctrlProps/ctrlProp230.xml"/><Relationship Id="rId58" Type="http://schemas.openxmlformats.org/officeDocument/2006/relationships/ctrlProp" Target="../ctrlProps/ctrlProp235.xml"/><Relationship Id="rId74" Type="http://schemas.openxmlformats.org/officeDocument/2006/relationships/ctrlProp" Target="../ctrlProps/ctrlProp251.xml"/><Relationship Id="rId79" Type="http://schemas.openxmlformats.org/officeDocument/2006/relationships/ctrlProp" Target="../ctrlProps/ctrlProp256.xml"/><Relationship Id="rId5" Type="http://schemas.openxmlformats.org/officeDocument/2006/relationships/ctrlProp" Target="../ctrlProps/ctrlProp182.xml"/><Relationship Id="rId90" Type="http://schemas.openxmlformats.org/officeDocument/2006/relationships/ctrlProp" Target="../ctrlProps/ctrlProp267.xml"/><Relationship Id="rId22" Type="http://schemas.openxmlformats.org/officeDocument/2006/relationships/ctrlProp" Target="../ctrlProps/ctrlProp199.xml"/><Relationship Id="rId27" Type="http://schemas.openxmlformats.org/officeDocument/2006/relationships/ctrlProp" Target="../ctrlProps/ctrlProp204.xml"/><Relationship Id="rId43" Type="http://schemas.openxmlformats.org/officeDocument/2006/relationships/ctrlProp" Target="../ctrlProps/ctrlProp220.xml"/><Relationship Id="rId48" Type="http://schemas.openxmlformats.org/officeDocument/2006/relationships/ctrlProp" Target="../ctrlProps/ctrlProp225.xml"/><Relationship Id="rId64" Type="http://schemas.openxmlformats.org/officeDocument/2006/relationships/ctrlProp" Target="../ctrlProps/ctrlProp241.xml"/><Relationship Id="rId69" Type="http://schemas.openxmlformats.org/officeDocument/2006/relationships/ctrlProp" Target="../ctrlProps/ctrlProp246.xml"/><Relationship Id="rId8" Type="http://schemas.openxmlformats.org/officeDocument/2006/relationships/ctrlProp" Target="../ctrlProps/ctrlProp185.xml"/><Relationship Id="rId51" Type="http://schemas.openxmlformats.org/officeDocument/2006/relationships/ctrlProp" Target="../ctrlProps/ctrlProp228.xml"/><Relationship Id="rId72" Type="http://schemas.openxmlformats.org/officeDocument/2006/relationships/ctrlProp" Target="../ctrlProps/ctrlProp249.xml"/><Relationship Id="rId80" Type="http://schemas.openxmlformats.org/officeDocument/2006/relationships/ctrlProp" Target="../ctrlProps/ctrlProp257.xml"/><Relationship Id="rId85" Type="http://schemas.openxmlformats.org/officeDocument/2006/relationships/ctrlProp" Target="../ctrlProps/ctrlProp262.xml"/><Relationship Id="rId93" Type="http://schemas.openxmlformats.org/officeDocument/2006/relationships/ctrlProp" Target="../ctrlProps/ctrlProp270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89.xml"/><Relationship Id="rId17" Type="http://schemas.openxmlformats.org/officeDocument/2006/relationships/ctrlProp" Target="../ctrlProps/ctrlProp194.xml"/><Relationship Id="rId25" Type="http://schemas.openxmlformats.org/officeDocument/2006/relationships/ctrlProp" Target="../ctrlProps/ctrlProp202.xml"/><Relationship Id="rId33" Type="http://schemas.openxmlformats.org/officeDocument/2006/relationships/ctrlProp" Target="../ctrlProps/ctrlProp210.xml"/><Relationship Id="rId38" Type="http://schemas.openxmlformats.org/officeDocument/2006/relationships/ctrlProp" Target="../ctrlProps/ctrlProp215.xml"/><Relationship Id="rId46" Type="http://schemas.openxmlformats.org/officeDocument/2006/relationships/ctrlProp" Target="../ctrlProps/ctrlProp223.xml"/><Relationship Id="rId59" Type="http://schemas.openxmlformats.org/officeDocument/2006/relationships/ctrlProp" Target="../ctrlProps/ctrlProp236.xml"/><Relationship Id="rId67" Type="http://schemas.openxmlformats.org/officeDocument/2006/relationships/ctrlProp" Target="../ctrlProps/ctrlProp244.xml"/><Relationship Id="rId20" Type="http://schemas.openxmlformats.org/officeDocument/2006/relationships/ctrlProp" Target="../ctrlProps/ctrlProp197.xml"/><Relationship Id="rId41" Type="http://schemas.openxmlformats.org/officeDocument/2006/relationships/ctrlProp" Target="../ctrlProps/ctrlProp218.xml"/><Relationship Id="rId54" Type="http://schemas.openxmlformats.org/officeDocument/2006/relationships/ctrlProp" Target="../ctrlProps/ctrlProp231.xml"/><Relationship Id="rId62" Type="http://schemas.openxmlformats.org/officeDocument/2006/relationships/ctrlProp" Target="../ctrlProps/ctrlProp239.xml"/><Relationship Id="rId70" Type="http://schemas.openxmlformats.org/officeDocument/2006/relationships/ctrlProp" Target="../ctrlProps/ctrlProp247.xml"/><Relationship Id="rId75" Type="http://schemas.openxmlformats.org/officeDocument/2006/relationships/ctrlProp" Target="../ctrlProps/ctrlProp252.xml"/><Relationship Id="rId83" Type="http://schemas.openxmlformats.org/officeDocument/2006/relationships/ctrlProp" Target="../ctrlProps/ctrlProp260.xml"/><Relationship Id="rId88" Type="http://schemas.openxmlformats.org/officeDocument/2006/relationships/ctrlProp" Target="../ctrlProps/ctrlProp265.xml"/><Relationship Id="rId91" Type="http://schemas.openxmlformats.org/officeDocument/2006/relationships/ctrlProp" Target="../ctrlProps/ctrlProp26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3.xml"/><Relationship Id="rId15" Type="http://schemas.openxmlformats.org/officeDocument/2006/relationships/ctrlProp" Target="../ctrlProps/ctrlProp192.xml"/><Relationship Id="rId23" Type="http://schemas.openxmlformats.org/officeDocument/2006/relationships/ctrlProp" Target="../ctrlProps/ctrlProp200.xml"/><Relationship Id="rId28" Type="http://schemas.openxmlformats.org/officeDocument/2006/relationships/ctrlProp" Target="../ctrlProps/ctrlProp205.xml"/><Relationship Id="rId36" Type="http://schemas.openxmlformats.org/officeDocument/2006/relationships/ctrlProp" Target="../ctrlProps/ctrlProp213.xml"/><Relationship Id="rId49" Type="http://schemas.openxmlformats.org/officeDocument/2006/relationships/ctrlProp" Target="../ctrlProps/ctrlProp226.xml"/><Relationship Id="rId57" Type="http://schemas.openxmlformats.org/officeDocument/2006/relationships/ctrlProp" Target="../ctrlProps/ctrlProp234.xml"/><Relationship Id="rId10" Type="http://schemas.openxmlformats.org/officeDocument/2006/relationships/ctrlProp" Target="../ctrlProps/ctrlProp187.xml"/><Relationship Id="rId31" Type="http://schemas.openxmlformats.org/officeDocument/2006/relationships/ctrlProp" Target="../ctrlProps/ctrlProp208.xml"/><Relationship Id="rId44" Type="http://schemas.openxmlformats.org/officeDocument/2006/relationships/ctrlProp" Target="../ctrlProps/ctrlProp221.xml"/><Relationship Id="rId52" Type="http://schemas.openxmlformats.org/officeDocument/2006/relationships/ctrlProp" Target="../ctrlProps/ctrlProp229.xml"/><Relationship Id="rId60" Type="http://schemas.openxmlformats.org/officeDocument/2006/relationships/ctrlProp" Target="../ctrlProps/ctrlProp237.xml"/><Relationship Id="rId65" Type="http://schemas.openxmlformats.org/officeDocument/2006/relationships/ctrlProp" Target="../ctrlProps/ctrlProp242.xml"/><Relationship Id="rId73" Type="http://schemas.openxmlformats.org/officeDocument/2006/relationships/ctrlProp" Target="../ctrlProps/ctrlProp250.xml"/><Relationship Id="rId78" Type="http://schemas.openxmlformats.org/officeDocument/2006/relationships/ctrlProp" Target="../ctrlProps/ctrlProp255.xml"/><Relationship Id="rId81" Type="http://schemas.openxmlformats.org/officeDocument/2006/relationships/ctrlProp" Target="../ctrlProps/ctrlProp258.xml"/><Relationship Id="rId86" Type="http://schemas.openxmlformats.org/officeDocument/2006/relationships/ctrlProp" Target="../ctrlProps/ctrlProp263.xml"/><Relationship Id="rId4" Type="http://schemas.openxmlformats.org/officeDocument/2006/relationships/ctrlProp" Target="../ctrlProps/ctrlProp181.xml"/><Relationship Id="rId9" Type="http://schemas.openxmlformats.org/officeDocument/2006/relationships/ctrlProp" Target="../ctrlProps/ctrlProp186.xml"/><Relationship Id="rId13" Type="http://schemas.openxmlformats.org/officeDocument/2006/relationships/ctrlProp" Target="../ctrlProps/ctrlProp190.xml"/><Relationship Id="rId18" Type="http://schemas.openxmlformats.org/officeDocument/2006/relationships/ctrlProp" Target="../ctrlProps/ctrlProp195.xml"/><Relationship Id="rId39" Type="http://schemas.openxmlformats.org/officeDocument/2006/relationships/ctrlProp" Target="../ctrlProps/ctrlProp216.xml"/><Relationship Id="rId34" Type="http://schemas.openxmlformats.org/officeDocument/2006/relationships/ctrlProp" Target="../ctrlProps/ctrlProp211.xml"/><Relationship Id="rId50" Type="http://schemas.openxmlformats.org/officeDocument/2006/relationships/ctrlProp" Target="../ctrlProps/ctrlProp227.xml"/><Relationship Id="rId55" Type="http://schemas.openxmlformats.org/officeDocument/2006/relationships/ctrlProp" Target="../ctrlProps/ctrlProp232.xml"/><Relationship Id="rId76" Type="http://schemas.openxmlformats.org/officeDocument/2006/relationships/ctrlProp" Target="../ctrlProps/ctrlProp253.xml"/><Relationship Id="rId7" Type="http://schemas.openxmlformats.org/officeDocument/2006/relationships/ctrlProp" Target="../ctrlProps/ctrlProp184.xml"/><Relationship Id="rId71" Type="http://schemas.openxmlformats.org/officeDocument/2006/relationships/ctrlProp" Target="../ctrlProps/ctrlProp248.xml"/><Relationship Id="rId92" Type="http://schemas.openxmlformats.org/officeDocument/2006/relationships/ctrlProp" Target="../ctrlProps/ctrlProp269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06.xml"/><Relationship Id="rId24" Type="http://schemas.openxmlformats.org/officeDocument/2006/relationships/ctrlProp" Target="../ctrlProps/ctrlProp201.xml"/><Relationship Id="rId40" Type="http://schemas.openxmlformats.org/officeDocument/2006/relationships/ctrlProp" Target="../ctrlProps/ctrlProp217.xml"/><Relationship Id="rId45" Type="http://schemas.openxmlformats.org/officeDocument/2006/relationships/ctrlProp" Target="../ctrlProps/ctrlProp222.xml"/><Relationship Id="rId66" Type="http://schemas.openxmlformats.org/officeDocument/2006/relationships/ctrlProp" Target="../ctrlProps/ctrlProp243.xml"/><Relationship Id="rId87" Type="http://schemas.openxmlformats.org/officeDocument/2006/relationships/ctrlProp" Target="../ctrlProps/ctrlProp264.xml"/><Relationship Id="rId61" Type="http://schemas.openxmlformats.org/officeDocument/2006/relationships/ctrlProp" Target="../ctrlProps/ctrlProp238.xml"/><Relationship Id="rId82" Type="http://schemas.openxmlformats.org/officeDocument/2006/relationships/ctrlProp" Target="../ctrlProps/ctrlProp259.xml"/><Relationship Id="rId19" Type="http://schemas.openxmlformats.org/officeDocument/2006/relationships/ctrlProp" Target="../ctrlProps/ctrlProp196.xml"/><Relationship Id="rId14" Type="http://schemas.openxmlformats.org/officeDocument/2006/relationships/ctrlProp" Target="../ctrlProps/ctrlProp191.xml"/><Relationship Id="rId30" Type="http://schemas.openxmlformats.org/officeDocument/2006/relationships/ctrlProp" Target="../ctrlProps/ctrlProp207.xml"/><Relationship Id="rId35" Type="http://schemas.openxmlformats.org/officeDocument/2006/relationships/ctrlProp" Target="../ctrlProps/ctrlProp212.xml"/><Relationship Id="rId56" Type="http://schemas.openxmlformats.org/officeDocument/2006/relationships/ctrlProp" Target="../ctrlProps/ctrlProp233.xml"/><Relationship Id="rId77" Type="http://schemas.openxmlformats.org/officeDocument/2006/relationships/ctrlProp" Target="../ctrlProps/ctrlProp254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93.xml"/><Relationship Id="rId21" Type="http://schemas.openxmlformats.org/officeDocument/2006/relationships/ctrlProp" Target="../ctrlProps/ctrlProp288.xml"/><Relationship Id="rId42" Type="http://schemas.openxmlformats.org/officeDocument/2006/relationships/ctrlProp" Target="../ctrlProps/ctrlProp309.xml"/><Relationship Id="rId47" Type="http://schemas.openxmlformats.org/officeDocument/2006/relationships/ctrlProp" Target="../ctrlProps/ctrlProp314.xml"/><Relationship Id="rId63" Type="http://schemas.openxmlformats.org/officeDocument/2006/relationships/ctrlProp" Target="../ctrlProps/ctrlProp330.xml"/><Relationship Id="rId68" Type="http://schemas.openxmlformats.org/officeDocument/2006/relationships/ctrlProp" Target="../ctrlProps/ctrlProp335.xml"/><Relationship Id="rId84" Type="http://schemas.openxmlformats.org/officeDocument/2006/relationships/ctrlProp" Target="../ctrlProps/ctrlProp351.xml"/><Relationship Id="rId89" Type="http://schemas.openxmlformats.org/officeDocument/2006/relationships/ctrlProp" Target="../ctrlProps/ctrlProp356.xml"/><Relationship Id="rId16" Type="http://schemas.openxmlformats.org/officeDocument/2006/relationships/ctrlProp" Target="../ctrlProps/ctrlProp283.xml"/><Relationship Id="rId11" Type="http://schemas.openxmlformats.org/officeDocument/2006/relationships/ctrlProp" Target="../ctrlProps/ctrlProp278.xml"/><Relationship Id="rId32" Type="http://schemas.openxmlformats.org/officeDocument/2006/relationships/ctrlProp" Target="../ctrlProps/ctrlProp299.xml"/><Relationship Id="rId37" Type="http://schemas.openxmlformats.org/officeDocument/2006/relationships/ctrlProp" Target="../ctrlProps/ctrlProp304.xml"/><Relationship Id="rId53" Type="http://schemas.openxmlformats.org/officeDocument/2006/relationships/ctrlProp" Target="../ctrlProps/ctrlProp320.xml"/><Relationship Id="rId58" Type="http://schemas.openxmlformats.org/officeDocument/2006/relationships/ctrlProp" Target="../ctrlProps/ctrlProp325.xml"/><Relationship Id="rId74" Type="http://schemas.openxmlformats.org/officeDocument/2006/relationships/ctrlProp" Target="../ctrlProps/ctrlProp341.xml"/><Relationship Id="rId79" Type="http://schemas.openxmlformats.org/officeDocument/2006/relationships/ctrlProp" Target="../ctrlProps/ctrlProp346.xml"/><Relationship Id="rId5" Type="http://schemas.openxmlformats.org/officeDocument/2006/relationships/ctrlProp" Target="../ctrlProps/ctrlProp272.xml"/><Relationship Id="rId90" Type="http://schemas.openxmlformats.org/officeDocument/2006/relationships/ctrlProp" Target="../ctrlProps/ctrlProp357.xml"/><Relationship Id="rId22" Type="http://schemas.openxmlformats.org/officeDocument/2006/relationships/ctrlProp" Target="../ctrlProps/ctrlProp289.xml"/><Relationship Id="rId27" Type="http://schemas.openxmlformats.org/officeDocument/2006/relationships/ctrlProp" Target="../ctrlProps/ctrlProp294.xml"/><Relationship Id="rId43" Type="http://schemas.openxmlformats.org/officeDocument/2006/relationships/ctrlProp" Target="../ctrlProps/ctrlProp310.xml"/><Relationship Id="rId48" Type="http://schemas.openxmlformats.org/officeDocument/2006/relationships/ctrlProp" Target="../ctrlProps/ctrlProp315.xml"/><Relationship Id="rId64" Type="http://schemas.openxmlformats.org/officeDocument/2006/relationships/ctrlProp" Target="../ctrlProps/ctrlProp331.xml"/><Relationship Id="rId69" Type="http://schemas.openxmlformats.org/officeDocument/2006/relationships/ctrlProp" Target="../ctrlProps/ctrlProp336.xml"/><Relationship Id="rId8" Type="http://schemas.openxmlformats.org/officeDocument/2006/relationships/ctrlProp" Target="../ctrlProps/ctrlProp275.xml"/><Relationship Id="rId51" Type="http://schemas.openxmlformats.org/officeDocument/2006/relationships/ctrlProp" Target="../ctrlProps/ctrlProp318.xml"/><Relationship Id="rId72" Type="http://schemas.openxmlformats.org/officeDocument/2006/relationships/ctrlProp" Target="../ctrlProps/ctrlProp339.xml"/><Relationship Id="rId80" Type="http://schemas.openxmlformats.org/officeDocument/2006/relationships/ctrlProp" Target="../ctrlProps/ctrlProp347.xml"/><Relationship Id="rId85" Type="http://schemas.openxmlformats.org/officeDocument/2006/relationships/ctrlProp" Target="../ctrlProps/ctrlProp352.xml"/><Relationship Id="rId93" Type="http://schemas.openxmlformats.org/officeDocument/2006/relationships/ctrlProp" Target="../ctrlProps/ctrlProp360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279.xml"/><Relationship Id="rId17" Type="http://schemas.openxmlformats.org/officeDocument/2006/relationships/ctrlProp" Target="../ctrlProps/ctrlProp284.xml"/><Relationship Id="rId25" Type="http://schemas.openxmlformats.org/officeDocument/2006/relationships/ctrlProp" Target="../ctrlProps/ctrlProp292.xml"/><Relationship Id="rId33" Type="http://schemas.openxmlformats.org/officeDocument/2006/relationships/ctrlProp" Target="../ctrlProps/ctrlProp300.xml"/><Relationship Id="rId38" Type="http://schemas.openxmlformats.org/officeDocument/2006/relationships/ctrlProp" Target="../ctrlProps/ctrlProp305.xml"/><Relationship Id="rId46" Type="http://schemas.openxmlformats.org/officeDocument/2006/relationships/ctrlProp" Target="../ctrlProps/ctrlProp313.xml"/><Relationship Id="rId59" Type="http://schemas.openxmlformats.org/officeDocument/2006/relationships/ctrlProp" Target="../ctrlProps/ctrlProp326.xml"/><Relationship Id="rId67" Type="http://schemas.openxmlformats.org/officeDocument/2006/relationships/ctrlProp" Target="../ctrlProps/ctrlProp334.xml"/><Relationship Id="rId20" Type="http://schemas.openxmlformats.org/officeDocument/2006/relationships/ctrlProp" Target="../ctrlProps/ctrlProp287.xml"/><Relationship Id="rId41" Type="http://schemas.openxmlformats.org/officeDocument/2006/relationships/ctrlProp" Target="../ctrlProps/ctrlProp308.xml"/><Relationship Id="rId54" Type="http://schemas.openxmlformats.org/officeDocument/2006/relationships/ctrlProp" Target="../ctrlProps/ctrlProp321.xml"/><Relationship Id="rId62" Type="http://schemas.openxmlformats.org/officeDocument/2006/relationships/ctrlProp" Target="../ctrlProps/ctrlProp329.xml"/><Relationship Id="rId70" Type="http://schemas.openxmlformats.org/officeDocument/2006/relationships/ctrlProp" Target="../ctrlProps/ctrlProp337.xml"/><Relationship Id="rId75" Type="http://schemas.openxmlformats.org/officeDocument/2006/relationships/ctrlProp" Target="../ctrlProps/ctrlProp342.xml"/><Relationship Id="rId83" Type="http://schemas.openxmlformats.org/officeDocument/2006/relationships/ctrlProp" Target="../ctrlProps/ctrlProp350.xml"/><Relationship Id="rId88" Type="http://schemas.openxmlformats.org/officeDocument/2006/relationships/ctrlProp" Target="../ctrlProps/ctrlProp355.xml"/><Relationship Id="rId91" Type="http://schemas.openxmlformats.org/officeDocument/2006/relationships/ctrlProp" Target="../ctrlProps/ctrlProp35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73.xml"/><Relationship Id="rId15" Type="http://schemas.openxmlformats.org/officeDocument/2006/relationships/ctrlProp" Target="../ctrlProps/ctrlProp282.xml"/><Relationship Id="rId23" Type="http://schemas.openxmlformats.org/officeDocument/2006/relationships/ctrlProp" Target="../ctrlProps/ctrlProp290.xml"/><Relationship Id="rId28" Type="http://schemas.openxmlformats.org/officeDocument/2006/relationships/ctrlProp" Target="../ctrlProps/ctrlProp295.xml"/><Relationship Id="rId36" Type="http://schemas.openxmlformats.org/officeDocument/2006/relationships/ctrlProp" Target="../ctrlProps/ctrlProp303.xml"/><Relationship Id="rId49" Type="http://schemas.openxmlformats.org/officeDocument/2006/relationships/ctrlProp" Target="../ctrlProps/ctrlProp316.xml"/><Relationship Id="rId57" Type="http://schemas.openxmlformats.org/officeDocument/2006/relationships/ctrlProp" Target="../ctrlProps/ctrlProp324.xml"/><Relationship Id="rId10" Type="http://schemas.openxmlformats.org/officeDocument/2006/relationships/ctrlProp" Target="../ctrlProps/ctrlProp277.xml"/><Relationship Id="rId31" Type="http://schemas.openxmlformats.org/officeDocument/2006/relationships/ctrlProp" Target="../ctrlProps/ctrlProp298.xml"/><Relationship Id="rId44" Type="http://schemas.openxmlformats.org/officeDocument/2006/relationships/ctrlProp" Target="../ctrlProps/ctrlProp311.xml"/><Relationship Id="rId52" Type="http://schemas.openxmlformats.org/officeDocument/2006/relationships/ctrlProp" Target="../ctrlProps/ctrlProp319.xml"/><Relationship Id="rId60" Type="http://schemas.openxmlformats.org/officeDocument/2006/relationships/ctrlProp" Target="../ctrlProps/ctrlProp327.xml"/><Relationship Id="rId65" Type="http://schemas.openxmlformats.org/officeDocument/2006/relationships/ctrlProp" Target="../ctrlProps/ctrlProp332.xml"/><Relationship Id="rId73" Type="http://schemas.openxmlformats.org/officeDocument/2006/relationships/ctrlProp" Target="../ctrlProps/ctrlProp340.xml"/><Relationship Id="rId78" Type="http://schemas.openxmlformats.org/officeDocument/2006/relationships/ctrlProp" Target="../ctrlProps/ctrlProp345.xml"/><Relationship Id="rId81" Type="http://schemas.openxmlformats.org/officeDocument/2006/relationships/ctrlProp" Target="../ctrlProps/ctrlProp348.xml"/><Relationship Id="rId86" Type="http://schemas.openxmlformats.org/officeDocument/2006/relationships/ctrlProp" Target="../ctrlProps/ctrlProp353.xml"/><Relationship Id="rId4" Type="http://schemas.openxmlformats.org/officeDocument/2006/relationships/ctrlProp" Target="../ctrlProps/ctrlProp271.xml"/><Relationship Id="rId9" Type="http://schemas.openxmlformats.org/officeDocument/2006/relationships/ctrlProp" Target="../ctrlProps/ctrlProp276.xml"/><Relationship Id="rId13" Type="http://schemas.openxmlformats.org/officeDocument/2006/relationships/ctrlProp" Target="../ctrlProps/ctrlProp280.xml"/><Relationship Id="rId18" Type="http://schemas.openxmlformats.org/officeDocument/2006/relationships/ctrlProp" Target="../ctrlProps/ctrlProp285.xml"/><Relationship Id="rId39" Type="http://schemas.openxmlformats.org/officeDocument/2006/relationships/ctrlProp" Target="../ctrlProps/ctrlProp306.xml"/><Relationship Id="rId34" Type="http://schemas.openxmlformats.org/officeDocument/2006/relationships/ctrlProp" Target="../ctrlProps/ctrlProp301.xml"/><Relationship Id="rId50" Type="http://schemas.openxmlformats.org/officeDocument/2006/relationships/ctrlProp" Target="../ctrlProps/ctrlProp317.xml"/><Relationship Id="rId55" Type="http://schemas.openxmlformats.org/officeDocument/2006/relationships/ctrlProp" Target="../ctrlProps/ctrlProp322.xml"/><Relationship Id="rId76" Type="http://schemas.openxmlformats.org/officeDocument/2006/relationships/ctrlProp" Target="../ctrlProps/ctrlProp343.xml"/><Relationship Id="rId7" Type="http://schemas.openxmlformats.org/officeDocument/2006/relationships/ctrlProp" Target="../ctrlProps/ctrlProp274.xml"/><Relationship Id="rId71" Type="http://schemas.openxmlformats.org/officeDocument/2006/relationships/ctrlProp" Target="../ctrlProps/ctrlProp338.xml"/><Relationship Id="rId92" Type="http://schemas.openxmlformats.org/officeDocument/2006/relationships/ctrlProp" Target="../ctrlProps/ctrlProp35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296.xml"/><Relationship Id="rId24" Type="http://schemas.openxmlformats.org/officeDocument/2006/relationships/ctrlProp" Target="../ctrlProps/ctrlProp291.xml"/><Relationship Id="rId40" Type="http://schemas.openxmlformats.org/officeDocument/2006/relationships/ctrlProp" Target="../ctrlProps/ctrlProp307.xml"/><Relationship Id="rId45" Type="http://schemas.openxmlformats.org/officeDocument/2006/relationships/ctrlProp" Target="../ctrlProps/ctrlProp312.xml"/><Relationship Id="rId66" Type="http://schemas.openxmlformats.org/officeDocument/2006/relationships/ctrlProp" Target="../ctrlProps/ctrlProp333.xml"/><Relationship Id="rId87" Type="http://schemas.openxmlformats.org/officeDocument/2006/relationships/ctrlProp" Target="../ctrlProps/ctrlProp354.xml"/><Relationship Id="rId61" Type="http://schemas.openxmlformats.org/officeDocument/2006/relationships/ctrlProp" Target="../ctrlProps/ctrlProp328.xml"/><Relationship Id="rId82" Type="http://schemas.openxmlformats.org/officeDocument/2006/relationships/ctrlProp" Target="../ctrlProps/ctrlProp349.xml"/><Relationship Id="rId19" Type="http://schemas.openxmlformats.org/officeDocument/2006/relationships/ctrlProp" Target="../ctrlProps/ctrlProp286.xml"/><Relationship Id="rId14" Type="http://schemas.openxmlformats.org/officeDocument/2006/relationships/ctrlProp" Target="../ctrlProps/ctrlProp281.xml"/><Relationship Id="rId30" Type="http://schemas.openxmlformats.org/officeDocument/2006/relationships/ctrlProp" Target="../ctrlProps/ctrlProp297.xml"/><Relationship Id="rId35" Type="http://schemas.openxmlformats.org/officeDocument/2006/relationships/ctrlProp" Target="../ctrlProps/ctrlProp302.xml"/><Relationship Id="rId56" Type="http://schemas.openxmlformats.org/officeDocument/2006/relationships/ctrlProp" Target="../ctrlProps/ctrlProp323.xml"/><Relationship Id="rId77" Type="http://schemas.openxmlformats.org/officeDocument/2006/relationships/ctrlProp" Target="../ctrlProps/ctrlProp344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383.xml"/><Relationship Id="rId21" Type="http://schemas.openxmlformats.org/officeDocument/2006/relationships/ctrlProp" Target="../ctrlProps/ctrlProp378.xml"/><Relationship Id="rId42" Type="http://schemas.openxmlformats.org/officeDocument/2006/relationships/ctrlProp" Target="../ctrlProps/ctrlProp399.xml"/><Relationship Id="rId47" Type="http://schemas.openxmlformats.org/officeDocument/2006/relationships/ctrlProp" Target="../ctrlProps/ctrlProp404.xml"/><Relationship Id="rId63" Type="http://schemas.openxmlformats.org/officeDocument/2006/relationships/ctrlProp" Target="../ctrlProps/ctrlProp420.xml"/><Relationship Id="rId68" Type="http://schemas.openxmlformats.org/officeDocument/2006/relationships/ctrlProp" Target="../ctrlProps/ctrlProp425.xml"/><Relationship Id="rId84" Type="http://schemas.openxmlformats.org/officeDocument/2006/relationships/ctrlProp" Target="../ctrlProps/ctrlProp441.xml"/><Relationship Id="rId89" Type="http://schemas.openxmlformats.org/officeDocument/2006/relationships/ctrlProp" Target="../ctrlProps/ctrlProp446.xml"/><Relationship Id="rId16" Type="http://schemas.openxmlformats.org/officeDocument/2006/relationships/ctrlProp" Target="../ctrlProps/ctrlProp373.xml"/><Relationship Id="rId11" Type="http://schemas.openxmlformats.org/officeDocument/2006/relationships/ctrlProp" Target="../ctrlProps/ctrlProp368.xml"/><Relationship Id="rId32" Type="http://schemas.openxmlformats.org/officeDocument/2006/relationships/ctrlProp" Target="../ctrlProps/ctrlProp389.xml"/><Relationship Id="rId37" Type="http://schemas.openxmlformats.org/officeDocument/2006/relationships/ctrlProp" Target="../ctrlProps/ctrlProp394.xml"/><Relationship Id="rId53" Type="http://schemas.openxmlformats.org/officeDocument/2006/relationships/ctrlProp" Target="../ctrlProps/ctrlProp410.xml"/><Relationship Id="rId58" Type="http://schemas.openxmlformats.org/officeDocument/2006/relationships/ctrlProp" Target="../ctrlProps/ctrlProp415.xml"/><Relationship Id="rId74" Type="http://schemas.openxmlformats.org/officeDocument/2006/relationships/ctrlProp" Target="../ctrlProps/ctrlProp431.xml"/><Relationship Id="rId79" Type="http://schemas.openxmlformats.org/officeDocument/2006/relationships/ctrlProp" Target="../ctrlProps/ctrlProp436.xml"/><Relationship Id="rId5" Type="http://schemas.openxmlformats.org/officeDocument/2006/relationships/ctrlProp" Target="../ctrlProps/ctrlProp362.xml"/><Relationship Id="rId90" Type="http://schemas.openxmlformats.org/officeDocument/2006/relationships/ctrlProp" Target="../ctrlProps/ctrlProp447.xml"/><Relationship Id="rId22" Type="http://schemas.openxmlformats.org/officeDocument/2006/relationships/ctrlProp" Target="../ctrlProps/ctrlProp379.xml"/><Relationship Id="rId27" Type="http://schemas.openxmlformats.org/officeDocument/2006/relationships/ctrlProp" Target="../ctrlProps/ctrlProp384.xml"/><Relationship Id="rId43" Type="http://schemas.openxmlformats.org/officeDocument/2006/relationships/ctrlProp" Target="../ctrlProps/ctrlProp400.xml"/><Relationship Id="rId48" Type="http://schemas.openxmlformats.org/officeDocument/2006/relationships/ctrlProp" Target="../ctrlProps/ctrlProp405.xml"/><Relationship Id="rId64" Type="http://schemas.openxmlformats.org/officeDocument/2006/relationships/ctrlProp" Target="../ctrlProps/ctrlProp421.xml"/><Relationship Id="rId69" Type="http://schemas.openxmlformats.org/officeDocument/2006/relationships/ctrlProp" Target="../ctrlProps/ctrlProp426.xml"/><Relationship Id="rId8" Type="http://schemas.openxmlformats.org/officeDocument/2006/relationships/ctrlProp" Target="../ctrlProps/ctrlProp365.xml"/><Relationship Id="rId51" Type="http://schemas.openxmlformats.org/officeDocument/2006/relationships/ctrlProp" Target="../ctrlProps/ctrlProp408.xml"/><Relationship Id="rId72" Type="http://schemas.openxmlformats.org/officeDocument/2006/relationships/ctrlProp" Target="../ctrlProps/ctrlProp429.xml"/><Relationship Id="rId80" Type="http://schemas.openxmlformats.org/officeDocument/2006/relationships/ctrlProp" Target="../ctrlProps/ctrlProp437.xml"/><Relationship Id="rId85" Type="http://schemas.openxmlformats.org/officeDocument/2006/relationships/ctrlProp" Target="../ctrlProps/ctrlProp442.xml"/><Relationship Id="rId93" Type="http://schemas.openxmlformats.org/officeDocument/2006/relationships/ctrlProp" Target="../ctrlProps/ctrlProp450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369.xml"/><Relationship Id="rId17" Type="http://schemas.openxmlformats.org/officeDocument/2006/relationships/ctrlProp" Target="../ctrlProps/ctrlProp374.xml"/><Relationship Id="rId25" Type="http://schemas.openxmlformats.org/officeDocument/2006/relationships/ctrlProp" Target="../ctrlProps/ctrlProp382.xml"/><Relationship Id="rId33" Type="http://schemas.openxmlformats.org/officeDocument/2006/relationships/ctrlProp" Target="../ctrlProps/ctrlProp390.xml"/><Relationship Id="rId38" Type="http://schemas.openxmlformats.org/officeDocument/2006/relationships/ctrlProp" Target="../ctrlProps/ctrlProp395.xml"/><Relationship Id="rId46" Type="http://schemas.openxmlformats.org/officeDocument/2006/relationships/ctrlProp" Target="../ctrlProps/ctrlProp403.xml"/><Relationship Id="rId59" Type="http://schemas.openxmlformats.org/officeDocument/2006/relationships/ctrlProp" Target="../ctrlProps/ctrlProp416.xml"/><Relationship Id="rId67" Type="http://schemas.openxmlformats.org/officeDocument/2006/relationships/ctrlProp" Target="../ctrlProps/ctrlProp424.xml"/><Relationship Id="rId20" Type="http://schemas.openxmlformats.org/officeDocument/2006/relationships/ctrlProp" Target="../ctrlProps/ctrlProp377.xml"/><Relationship Id="rId41" Type="http://schemas.openxmlformats.org/officeDocument/2006/relationships/ctrlProp" Target="../ctrlProps/ctrlProp398.xml"/><Relationship Id="rId54" Type="http://schemas.openxmlformats.org/officeDocument/2006/relationships/ctrlProp" Target="../ctrlProps/ctrlProp411.xml"/><Relationship Id="rId62" Type="http://schemas.openxmlformats.org/officeDocument/2006/relationships/ctrlProp" Target="../ctrlProps/ctrlProp419.xml"/><Relationship Id="rId70" Type="http://schemas.openxmlformats.org/officeDocument/2006/relationships/ctrlProp" Target="../ctrlProps/ctrlProp427.xml"/><Relationship Id="rId75" Type="http://schemas.openxmlformats.org/officeDocument/2006/relationships/ctrlProp" Target="../ctrlProps/ctrlProp432.xml"/><Relationship Id="rId83" Type="http://schemas.openxmlformats.org/officeDocument/2006/relationships/ctrlProp" Target="../ctrlProps/ctrlProp440.xml"/><Relationship Id="rId88" Type="http://schemas.openxmlformats.org/officeDocument/2006/relationships/ctrlProp" Target="../ctrlProps/ctrlProp445.xml"/><Relationship Id="rId91" Type="http://schemas.openxmlformats.org/officeDocument/2006/relationships/ctrlProp" Target="../ctrlProps/ctrlProp448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63.xml"/><Relationship Id="rId15" Type="http://schemas.openxmlformats.org/officeDocument/2006/relationships/ctrlProp" Target="../ctrlProps/ctrlProp372.xml"/><Relationship Id="rId23" Type="http://schemas.openxmlformats.org/officeDocument/2006/relationships/ctrlProp" Target="../ctrlProps/ctrlProp380.xml"/><Relationship Id="rId28" Type="http://schemas.openxmlformats.org/officeDocument/2006/relationships/ctrlProp" Target="../ctrlProps/ctrlProp385.xml"/><Relationship Id="rId36" Type="http://schemas.openxmlformats.org/officeDocument/2006/relationships/ctrlProp" Target="../ctrlProps/ctrlProp393.xml"/><Relationship Id="rId49" Type="http://schemas.openxmlformats.org/officeDocument/2006/relationships/ctrlProp" Target="../ctrlProps/ctrlProp406.xml"/><Relationship Id="rId57" Type="http://schemas.openxmlformats.org/officeDocument/2006/relationships/ctrlProp" Target="../ctrlProps/ctrlProp414.xml"/><Relationship Id="rId10" Type="http://schemas.openxmlformats.org/officeDocument/2006/relationships/ctrlProp" Target="../ctrlProps/ctrlProp367.xml"/><Relationship Id="rId31" Type="http://schemas.openxmlformats.org/officeDocument/2006/relationships/ctrlProp" Target="../ctrlProps/ctrlProp388.xml"/><Relationship Id="rId44" Type="http://schemas.openxmlformats.org/officeDocument/2006/relationships/ctrlProp" Target="../ctrlProps/ctrlProp401.xml"/><Relationship Id="rId52" Type="http://schemas.openxmlformats.org/officeDocument/2006/relationships/ctrlProp" Target="../ctrlProps/ctrlProp409.xml"/><Relationship Id="rId60" Type="http://schemas.openxmlformats.org/officeDocument/2006/relationships/ctrlProp" Target="../ctrlProps/ctrlProp417.xml"/><Relationship Id="rId65" Type="http://schemas.openxmlformats.org/officeDocument/2006/relationships/ctrlProp" Target="../ctrlProps/ctrlProp422.xml"/><Relationship Id="rId73" Type="http://schemas.openxmlformats.org/officeDocument/2006/relationships/ctrlProp" Target="../ctrlProps/ctrlProp430.xml"/><Relationship Id="rId78" Type="http://schemas.openxmlformats.org/officeDocument/2006/relationships/ctrlProp" Target="../ctrlProps/ctrlProp435.xml"/><Relationship Id="rId81" Type="http://schemas.openxmlformats.org/officeDocument/2006/relationships/ctrlProp" Target="../ctrlProps/ctrlProp438.xml"/><Relationship Id="rId86" Type="http://schemas.openxmlformats.org/officeDocument/2006/relationships/ctrlProp" Target="../ctrlProps/ctrlProp443.xml"/><Relationship Id="rId4" Type="http://schemas.openxmlformats.org/officeDocument/2006/relationships/ctrlProp" Target="../ctrlProps/ctrlProp361.xml"/><Relationship Id="rId9" Type="http://schemas.openxmlformats.org/officeDocument/2006/relationships/ctrlProp" Target="../ctrlProps/ctrlProp366.xml"/><Relationship Id="rId13" Type="http://schemas.openxmlformats.org/officeDocument/2006/relationships/ctrlProp" Target="../ctrlProps/ctrlProp370.xml"/><Relationship Id="rId18" Type="http://schemas.openxmlformats.org/officeDocument/2006/relationships/ctrlProp" Target="../ctrlProps/ctrlProp375.xml"/><Relationship Id="rId39" Type="http://schemas.openxmlformats.org/officeDocument/2006/relationships/ctrlProp" Target="../ctrlProps/ctrlProp396.xml"/><Relationship Id="rId34" Type="http://schemas.openxmlformats.org/officeDocument/2006/relationships/ctrlProp" Target="../ctrlProps/ctrlProp391.xml"/><Relationship Id="rId50" Type="http://schemas.openxmlformats.org/officeDocument/2006/relationships/ctrlProp" Target="../ctrlProps/ctrlProp407.xml"/><Relationship Id="rId55" Type="http://schemas.openxmlformats.org/officeDocument/2006/relationships/ctrlProp" Target="../ctrlProps/ctrlProp412.xml"/><Relationship Id="rId76" Type="http://schemas.openxmlformats.org/officeDocument/2006/relationships/ctrlProp" Target="../ctrlProps/ctrlProp433.xml"/><Relationship Id="rId7" Type="http://schemas.openxmlformats.org/officeDocument/2006/relationships/ctrlProp" Target="../ctrlProps/ctrlProp364.xml"/><Relationship Id="rId71" Type="http://schemas.openxmlformats.org/officeDocument/2006/relationships/ctrlProp" Target="../ctrlProps/ctrlProp428.xml"/><Relationship Id="rId92" Type="http://schemas.openxmlformats.org/officeDocument/2006/relationships/ctrlProp" Target="../ctrlProps/ctrlProp449.xml"/><Relationship Id="rId2" Type="http://schemas.openxmlformats.org/officeDocument/2006/relationships/drawing" Target="../drawings/drawing5.xml"/><Relationship Id="rId29" Type="http://schemas.openxmlformats.org/officeDocument/2006/relationships/ctrlProp" Target="../ctrlProps/ctrlProp386.xml"/><Relationship Id="rId24" Type="http://schemas.openxmlformats.org/officeDocument/2006/relationships/ctrlProp" Target="../ctrlProps/ctrlProp381.xml"/><Relationship Id="rId40" Type="http://schemas.openxmlformats.org/officeDocument/2006/relationships/ctrlProp" Target="../ctrlProps/ctrlProp397.xml"/><Relationship Id="rId45" Type="http://schemas.openxmlformats.org/officeDocument/2006/relationships/ctrlProp" Target="../ctrlProps/ctrlProp402.xml"/><Relationship Id="rId66" Type="http://schemas.openxmlformats.org/officeDocument/2006/relationships/ctrlProp" Target="../ctrlProps/ctrlProp423.xml"/><Relationship Id="rId87" Type="http://schemas.openxmlformats.org/officeDocument/2006/relationships/ctrlProp" Target="../ctrlProps/ctrlProp444.xml"/><Relationship Id="rId61" Type="http://schemas.openxmlformats.org/officeDocument/2006/relationships/ctrlProp" Target="../ctrlProps/ctrlProp418.xml"/><Relationship Id="rId82" Type="http://schemas.openxmlformats.org/officeDocument/2006/relationships/ctrlProp" Target="../ctrlProps/ctrlProp439.xml"/><Relationship Id="rId19" Type="http://schemas.openxmlformats.org/officeDocument/2006/relationships/ctrlProp" Target="../ctrlProps/ctrlProp376.xml"/><Relationship Id="rId14" Type="http://schemas.openxmlformats.org/officeDocument/2006/relationships/ctrlProp" Target="../ctrlProps/ctrlProp371.xml"/><Relationship Id="rId30" Type="http://schemas.openxmlformats.org/officeDocument/2006/relationships/ctrlProp" Target="../ctrlProps/ctrlProp387.xml"/><Relationship Id="rId35" Type="http://schemas.openxmlformats.org/officeDocument/2006/relationships/ctrlProp" Target="../ctrlProps/ctrlProp392.xml"/><Relationship Id="rId56" Type="http://schemas.openxmlformats.org/officeDocument/2006/relationships/ctrlProp" Target="../ctrlProps/ctrlProp413.xml"/><Relationship Id="rId77" Type="http://schemas.openxmlformats.org/officeDocument/2006/relationships/ctrlProp" Target="../ctrlProps/ctrlProp434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473.xml"/><Relationship Id="rId21" Type="http://schemas.openxmlformats.org/officeDocument/2006/relationships/ctrlProp" Target="../ctrlProps/ctrlProp468.xml"/><Relationship Id="rId42" Type="http://schemas.openxmlformats.org/officeDocument/2006/relationships/ctrlProp" Target="../ctrlProps/ctrlProp489.xml"/><Relationship Id="rId47" Type="http://schemas.openxmlformats.org/officeDocument/2006/relationships/ctrlProp" Target="../ctrlProps/ctrlProp494.xml"/><Relationship Id="rId63" Type="http://schemas.openxmlformats.org/officeDocument/2006/relationships/ctrlProp" Target="../ctrlProps/ctrlProp510.xml"/><Relationship Id="rId68" Type="http://schemas.openxmlformats.org/officeDocument/2006/relationships/ctrlProp" Target="../ctrlProps/ctrlProp515.xml"/><Relationship Id="rId84" Type="http://schemas.openxmlformats.org/officeDocument/2006/relationships/ctrlProp" Target="../ctrlProps/ctrlProp531.xml"/><Relationship Id="rId89" Type="http://schemas.openxmlformats.org/officeDocument/2006/relationships/ctrlProp" Target="../ctrlProps/ctrlProp536.xml"/><Relationship Id="rId16" Type="http://schemas.openxmlformats.org/officeDocument/2006/relationships/ctrlProp" Target="../ctrlProps/ctrlProp463.xml"/><Relationship Id="rId11" Type="http://schemas.openxmlformats.org/officeDocument/2006/relationships/ctrlProp" Target="../ctrlProps/ctrlProp458.xml"/><Relationship Id="rId32" Type="http://schemas.openxmlformats.org/officeDocument/2006/relationships/ctrlProp" Target="../ctrlProps/ctrlProp479.xml"/><Relationship Id="rId37" Type="http://schemas.openxmlformats.org/officeDocument/2006/relationships/ctrlProp" Target="../ctrlProps/ctrlProp484.xml"/><Relationship Id="rId53" Type="http://schemas.openxmlformats.org/officeDocument/2006/relationships/ctrlProp" Target="../ctrlProps/ctrlProp500.xml"/><Relationship Id="rId58" Type="http://schemas.openxmlformats.org/officeDocument/2006/relationships/ctrlProp" Target="../ctrlProps/ctrlProp505.xml"/><Relationship Id="rId74" Type="http://schemas.openxmlformats.org/officeDocument/2006/relationships/ctrlProp" Target="../ctrlProps/ctrlProp521.xml"/><Relationship Id="rId79" Type="http://schemas.openxmlformats.org/officeDocument/2006/relationships/ctrlProp" Target="../ctrlProps/ctrlProp526.xml"/><Relationship Id="rId5" Type="http://schemas.openxmlformats.org/officeDocument/2006/relationships/ctrlProp" Target="../ctrlProps/ctrlProp452.xml"/><Relationship Id="rId90" Type="http://schemas.openxmlformats.org/officeDocument/2006/relationships/ctrlProp" Target="../ctrlProps/ctrlProp537.xml"/><Relationship Id="rId22" Type="http://schemas.openxmlformats.org/officeDocument/2006/relationships/ctrlProp" Target="../ctrlProps/ctrlProp469.xml"/><Relationship Id="rId27" Type="http://schemas.openxmlformats.org/officeDocument/2006/relationships/ctrlProp" Target="../ctrlProps/ctrlProp474.xml"/><Relationship Id="rId43" Type="http://schemas.openxmlformats.org/officeDocument/2006/relationships/ctrlProp" Target="../ctrlProps/ctrlProp490.xml"/><Relationship Id="rId48" Type="http://schemas.openxmlformats.org/officeDocument/2006/relationships/ctrlProp" Target="../ctrlProps/ctrlProp495.xml"/><Relationship Id="rId64" Type="http://schemas.openxmlformats.org/officeDocument/2006/relationships/ctrlProp" Target="../ctrlProps/ctrlProp511.xml"/><Relationship Id="rId69" Type="http://schemas.openxmlformats.org/officeDocument/2006/relationships/ctrlProp" Target="../ctrlProps/ctrlProp516.xml"/><Relationship Id="rId8" Type="http://schemas.openxmlformats.org/officeDocument/2006/relationships/ctrlProp" Target="../ctrlProps/ctrlProp455.xml"/><Relationship Id="rId51" Type="http://schemas.openxmlformats.org/officeDocument/2006/relationships/ctrlProp" Target="../ctrlProps/ctrlProp498.xml"/><Relationship Id="rId72" Type="http://schemas.openxmlformats.org/officeDocument/2006/relationships/ctrlProp" Target="../ctrlProps/ctrlProp519.xml"/><Relationship Id="rId80" Type="http://schemas.openxmlformats.org/officeDocument/2006/relationships/ctrlProp" Target="../ctrlProps/ctrlProp527.xml"/><Relationship Id="rId85" Type="http://schemas.openxmlformats.org/officeDocument/2006/relationships/ctrlProp" Target="../ctrlProps/ctrlProp532.xml"/><Relationship Id="rId93" Type="http://schemas.openxmlformats.org/officeDocument/2006/relationships/ctrlProp" Target="../ctrlProps/ctrlProp540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459.xml"/><Relationship Id="rId17" Type="http://schemas.openxmlformats.org/officeDocument/2006/relationships/ctrlProp" Target="../ctrlProps/ctrlProp464.xml"/><Relationship Id="rId25" Type="http://schemas.openxmlformats.org/officeDocument/2006/relationships/ctrlProp" Target="../ctrlProps/ctrlProp472.xml"/><Relationship Id="rId33" Type="http://schemas.openxmlformats.org/officeDocument/2006/relationships/ctrlProp" Target="../ctrlProps/ctrlProp480.xml"/><Relationship Id="rId38" Type="http://schemas.openxmlformats.org/officeDocument/2006/relationships/ctrlProp" Target="../ctrlProps/ctrlProp485.xml"/><Relationship Id="rId46" Type="http://schemas.openxmlformats.org/officeDocument/2006/relationships/ctrlProp" Target="../ctrlProps/ctrlProp493.xml"/><Relationship Id="rId59" Type="http://schemas.openxmlformats.org/officeDocument/2006/relationships/ctrlProp" Target="../ctrlProps/ctrlProp506.xml"/><Relationship Id="rId67" Type="http://schemas.openxmlformats.org/officeDocument/2006/relationships/ctrlProp" Target="../ctrlProps/ctrlProp514.xml"/><Relationship Id="rId20" Type="http://schemas.openxmlformats.org/officeDocument/2006/relationships/ctrlProp" Target="../ctrlProps/ctrlProp467.xml"/><Relationship Id="rId41" Type="http://schemas.openxmlformats.org/officeDocument/2006/relationships/ctrlProp" Target="../ctrlProps/ctrlProp488.xml"/><Relationship Id="rId54" Type="http://schemas.openxmlformats.org/officeDocument/2006/relationships/ctrlProp" Target="../ctrlProps/ctrlProp501.xml"/><Relationship Id="rId62" Type="http://schemas.openxmlformats.org/officeDocument/2006/relationships/ctrlProp" Target="../ctrlProps/ctrlProp509.xml"/><Relationship Id="rId70" Type="http://schemas.openxmlformats.org/officeDocument/2006/relationships/ctrlProp" Target="../ctrlProps/ctrlProp517.xml"/><Relationship Id="rId75" Type="http://schemas.openxmlformats.org/officeDocument/2006/relationships/ctrlProp" Target="../ctrlProps/ctrlProp522.xml"/><Relationship Id="rId83" Type="http://schemas.openxmlformats.org/officeDocument/2006/relationships/ctrlProp" Target="../ctrlProps/ctrlProp530.xml"/><Relationship Id="rId88" Type="http://schemas.openxmlformats.org/officeDocument/2006/relationships/ctrlProp" Target="../ctrlProps/ctrlProp535.xml"/><Relationship Id="rId91" Type="http://schemas.openxmlformats.org/officeDocument/2006/relationships/ctrlProp" Target="../ctrlProps/ctrlProp538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3.xml"/><Relationship Id="rId15" Type="http://schemas.openxmlformats.org/officeDocument/2006/relationships/ctrlProp" Target="../ctrlProps/ctrlProp462.xml"/><Relationship Id="rId23" Type="http://schemas.openxmlformats.org/officeDocument/2006/relationships/ctrlProp" Target="../ctrlProps/ctrlProp470.xml"/><Relationship Id="rId28" Type="http://schemas.openxmlformats.org/officeDocument/2006/relationships/ctrlProp" Target="../ctrlProps/ctrlProp475.xml"/><Relationship Id="rId36" Type="http://schemas.openxmlformats.org/officeDocument/2006/relationships/ctrlProp" Target="../ctrlProps/ctrlProp483.xml"/><Relationship Id="rId49" Type="http://schemas.openxmlformats.org/officeDocument/2006/relationships/ctrlProp" Target="../ctrlProps/ctrlProp496.xml"/><Relationship Id="rId57" Type="http://schemas.openxmlformats.org/officeDocument/2006/relationships/ctrlProp" Target="../ctrlProps/ctrlProp504.xml"/><Relationship Id="rId10" Type="http://schemas.openxmlformats.org/officeDocument/2006/relationships/ctrlProp" Target="../ctrlProps/ctrlProp457.xml"/><Relationship Id="rId31" Type="http://schemas.openxmlformats.org/officeDocument/2006/relationships/ctrlProp" Target="../ctrlProps/ctrlProp478.xml"/><Relationship Id="rId44" Type="http://schemas.openxmlformats.org/officeDocument/2006/relationships/ctrlProp" Target="../ctrlProps/ctrlProp491.xml"/><Relationship Id="rId52" Type="http://schemas.openxmlformats.org/officeDocument/2006/relationships/ctrlProp" Target="../ctrlProps/ctrlProp499.xml"/><Relationship Id="rId60" Type="http://schemas.openxmlformats.org/officeDocument/2006/relationships/ctrlProp" Target="../ctrlProps/ctrlProp507.xml"/><Relationship Id="rId65" Type="http://schemas.openxmlformats.org/officeDocument/2006/relationships/ctrlProp" Target="../ctrlProps/ctrlProp512.xml"/><Relationship Id="rId73" Type="http://schemas.openxmlformats.org/officeDocument/2006/relationships/ctrlProp" Target="../ctrlProps/ctrlProp520.xml"/><Relationship Id="rId78" Type="http://schemas.openxmlformats.org/officeDocument/2006/relationships/ctrlProp" Target="../ctrlProps/ctrlProp525.xml"/><Relationship Id="rId81" Type="http://schemas.openxmlformats.org/officeDocument/2006/relationships/ctrlProp" Target="../ctrlProps/ctrlProp528.xml"/><Relationship Id="rId86" Type="http://schemas.openxmlformats.org/officeDocument/2006/relationships/ctrlProp" Target="../ctrlProps/ctrlProp533.xml"/><Relationship Id="rId4" Type="http://schemas.openxmlformats.org/officeDocument/2006/relationships/ctrlProp" Target="../ctrlProps/ctrlProp451.xml"/><Relationship Id="rId9" Type="http://schemas.openxmlformats.org/officeDocument/2006/relationships/ctrlProp" Target="../ctrlProps/ctrlProp456.xml"/><Relationship Id="rId13" Type="http://schemas.openxmlformats.org/officeDocument/2006/relationships/ctrlProp" Target="../ctrlProps/ctrlProp460.xml"/><Relationship Id="rId18" Type="http://schemas.openxmlformats.org/officeDocument/2006/relationships/ctrlProp" Target="../ctrlProps/ctrlProp465.xml"/><Relationship Id="rId39" Type="http://schemas.openxmlformats.org/officeDocument/2006/relationships/ctrlProp" Target="../ctrlProps/ctrlProp486.xml"/><Relationship Id="rId34" Type="http://schemas.openxmlformats.org/officeDocument/2006/relationships/ctrlProp" Target="../ctrlProps/ctrlProp481.xml"/><Relationship Id="rId50" Type="http://schemas.openxmlformats.org/officeDocument/2006/relationships/ctrlProp" Target="../ctrlProps/ctrlProp497.xml"/><Relationship Id="rId55" Type="http://schemas.openxmlformats.org/officeDocument/2006/relationships/ctrlProp" Target="../ctrlProps/ctrlProp502.xml"/><Relationship Id="rId76" Type="http://schemas.openxmlformats.org/officeDocument/2006/relationships/ctrlProp" Target="../ctrlProps/ctrlProp523.xml"/><Relationship Id="rId7" Type="http://schemas.openxmlformats.org/officeDocument/2006/relationships/ctrlProp" Target="../ctrlProps/ctrlProp454.xml"/><Relationship Id="rId71" Type="http://schemas.openxmlformats.org/officeDocument/2006/relationships/ctrlProp" Target="../ctrlProps/ctrlProp518.xml"/><Relationship Id="rId92" Type="http://schemas.openxmlformats.org/officeDocument/2006/relationships/ctrlProp" Target="../ctrlProps/ctrlProp539.xml"/><Relationship Id="rId2" Type="http://schemas.openxmlformats.org/officeDocument/2006/relationships/drawing" Target="../drawings/drawing6.xml"/><Relationship Id="rId29" Type="http://schemas.openxmlformats.org/officeDocument/2006/relationships/ctrlProp" Target="../ctrlProps/ctrlProp476.xml"/><Relationship Id="rId24" Type="http://schemas.openxmlformats.org/officeDocument/2006/relationships/ctrlProp" Target="../ctrlProps/ctrlProp471.xml"/><Relationship Id="rId40" Type="http://schemas.openxmlformats.org/officeDocument/2006/relationships/ctrlProp" Target="../ctrlProps/ctrlProp487.xml"/><Relationship Id="rId45" Type="http://schemas.openxmlformats.org/officeDocument/2006/relationships/ctrlProp" Target="../ctrlProps/ctrlProp492.xml"/><Relationship Id="rId66" Type="http://schemas.openxmlformats.org/officeDocument/2006/relationships/ctrlProp" Target="../ctrlProps/ctrlProp513.xml"/><Relationship Id="rId87" Type="http://schemas.openxmlformats.org/officeDocument/2006/relationships/ctrlProp" Target="../ctrlProps/ctrlProp534.xml"/><Relationship Id="rId61" Type="http://schemas.openxmlformats.org/officeDocument/2006/relationships/ctrlProp" Target="../ctrlProps/ctrlProp508.xml"/><Relationship Id="rId82" Type="http://schemas.openxmlformats.org/officeDocument/2006/relationships/ctrlProp" Target="../ctrlProps/ctrlProp529.xml"/><Relationship Id="rId19" Type="http://schemas.openxmlformats.org/officeDocument/2006/relationships/ctrlProp" Target="../ctrlProps/ctrlProp466.xml"/><Relationship Id="rId14" Type="http://schemas.openxmlformats.org/officeDocument/2006/relationships/ctrlProp" Target="../ctrlProps/ctrlProp461.xml"/><Relationship Id="rId30" Type="http://schemas.openxmlformats.org/officeDocument/2006/relationships/ctrlProp" Target="../ctrlProps/ctrlProp477.xml"/><Relationship Id="rId35" Type="http://schemas.openxmlformats.org/officeDocument/2006/relationships/ctrlProp" Target="../ctrlProps/ctrlProp482.xml"/><Relationship Id="rId56" Type="http://schemas.openxmlformats.org/officeDocument/2006/relationships/ctrlProp" Target="../ctrlProps/ctrlProp503.xml"/><Relationship Id="rId77" Type="http://schemas.openxmlformats.org/officeDocument/2006/relationships/ctrlProp" Target="../ctrlProps/ctrlProp52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AR92"/>
  <sheetViews>
    <sheetView showGridLines="0" topLeftCell="A55" workbookViewId="0">
      <selection activeCell="A79" sqref="A79:D79"/>
    </sheetView>
  </sheetViews>
  <sheetFormatPr defaultColWidth="9.33203125" defaultRowHeight="13.2" x14ac:dyDescent="0.25"/>
  <cols>
    <col min="1" max="1" width="54.6640625" customWidth="1"/>
    <col min="2" max="3" width="6.77734375" customWidth="1"/>
    <col min="4" max="4" width="44.77734375" style="4" customWidth="1"/>
    <col min="6" max="25" width="9.33203125" customWidth="1"/>
    <col min="27" max="28" width="9.33203125" style="34"/>
    <col min="29" max="30" width="4.21875" style="35" customWidth="1"/>
    <col min="31" max="31" width="3.33203125" style="35" customWidth="1"/>
    <col min="32" max="33" width="9.33203125" style="35"/>
    <col min="34" max="44" width="9.33203125" style="39"/>
  </cols>
  <sheetData>
    <row r="5" spans="1:34" ht="13.05" customHeight="1" x14ac:dyDescent="0.25">
      <c r="A5" s="79" t="s">
        <v>59</v>
      </c>
      <c r="B5" s="79"/>
      <c r="C5" s="79"/>
      <c r="D5" s="79"/>
    </row>
    <row r="6" spans="1:34" ht="13.05" customHeight="1" x14ac:dyDescent="0.25">
      <c r="A6" s="80" t="s">
        <v>60</v>
      </c>
      <c r="B6" s="80"/>
      <c r="C6" s="80"/>
      <c r="D6" s="80"/>
    </row>
    <row r="7" spans="1:34" x14ac:dyDescent="0.25">
      <c r="A7" s="78"/>
      <c r="B7" s="78"/>
      <c r="C7" s="78"/>
      <c r="D7" s="78"/>
    </row>
    <row r="8" spans="1:34" ht="13.05" customHeight="1" thickBot="1" x14ac:dyDescent="0.3">
      <c r="A8" s="83" t="s">
        <v>61</v>
      </c>
      <c r="B8" s="83"/>
      <c r="C8" s="83"/>
      <c r="D8" s="83"/>
    </row>
    <row r="9" spans="1:34" ht="7.05" customHeight="1" thickTop="1" x14ac:dyDescent="0.25">
      <c r="A9" s="18"/>
      <c r="B9" s="18"/>
      <c r="C9" s="18"/>
      <c r="D9" s="18"/>
    </row>
    <row r="10" spans="1:34" ht="13.8" x14ac:dyDescent="0.25">
      <c r="A10" s="82" t="s">
        <v>45</v>
      </c>
      <c r="B10" s="82"/>
      <c r="C10" s="82"/>
      <c r="D10" s="82"/>
    </row>
    <row r="11" spans="1:34" x14ac:dyDescent="0.25">
      <c r="A11" s="3" t="s">
        <v>46</v>
      </c>
      <c r="B11" s="87" t="s">
        <v>82</v>
      </c>
      <c r="C11" s="88"/>
      <c r="D11" s="88"/>
    </row>
    <row r="12" spans="1:34" x14ac:dyDescent="0.25">
      <c r="A12" s="16" t="s">
        <v>55</v>
      </c>
      <c r="B12" s="88" t="s">
        <v>81</v>
      </c>
      <c r="C12" s="88"/>
      <c r="D12" s="88"/>
    </row>
    <row r="13" spans="1:34" x14ac:dyDescent="0.25">
      <c r="A13" s="16" t="s">
        <v>56</v>
      </c>
      <c r="B13" s="88"/>
      <c r="C13" s="88"/>
      <c r="D13" s="88"/>
    </row>
    <row r="14" spans="1:34" ht="22.5" customHeight="1" thickBot="1" x14ac:dyDescent="0.3">
      <c r="A14" s="15" t="s">
        <v>54</v>
      </c>
    </row>
    <row r="15" spans="1:34" ht="13.8" thickBot="1" x14ac:dyDescent="0.3">
      <c r="A15" s="10" t="s">
        <v>0</v>
      </c>
      <c r="B15" s="11" t="s">
        <v>1</v>
      </c>
      <c r="C15" s="11" t="s">
        <v>2</v>
      </c>
      <c r="D15" s="12" t="s">
        <v>3</v>
      </c>
    </row>
    <row r="16" spans="1:34" ht="25.05" customHeight="1" x14ac:dyDescent="0.25">
      <c r="A16" s="8" t="s">
        <v>4</v>
      </c>
      <c r="B16" s="9"/>
      <c r="C16" s="9"/>
      <c r="D16" s="23"/>
      <c r="AA16" s="34" t="b">
        <v>0</v>
      </c>
      <c r="AB16" s="34" t="b">
        <v>0</v>
      </c>
      <c r="AC16" s="35">
        <f>IF(AA16="","",IF(AA16=TRUE,1,0))</f>
        <v>0</v>
      </c>
      <c r="AD16" s="35">
        <f>IF(AB16="","",IF(AB16=TRUE,0.5,0))</f>
        <v>0</v>
      </c>
      <c r="AE16" s="40">
        <f>SUM(AC16:AD16)</f>
        <v>0</v>
      </c>
      <c r="AF16" s="37">
        <f>IF(AE16=1,AC16,0)</f>
        <v>0</v>
      </c>
      <c r="AG16" s="37">
        <f>IF(AE16=1,AD16,0)</f>
        <v>0</v>
      </c>
      <c r="AH16" s="39" t="str">
        <f>IF(AD16=0,"",IF(AD16=1,2,0))</f>
        <v/>
      </c>
    </row>
    <row r="17" spans="1:34" ht="25.05" customHeight="1" x14ac:dyDescent="0.25">
      <c r="A17" s="5" t="s">
        <v>5</v>
      </c>
      <c r="B17" s="2"/>
      <c r="C17" s="2"/>
      <c r="D17" s="24"/>
      <c r="AA17" s="34" t="b">
        <v>0</v>
      </c>
      <c r="AB17" s="34" t="b">
        <v>0</v>
      </c>
      <c r="AC17" s="35">
        <f t="shared" ref="AC17:AD76" si="0">IF(AA17="","",IF(AA17=TRUE,1,0))</f>
        <v>0</v>
      </c>
      <c r="AD17" s="35">
        <f t="shared" ref="AD17:AD20" si="1">IF(AB17="","",IF(AB17=TRUE,0.5,0))</f>
        <v>0</v>
      </c>
      <c r="AE17" s="35">
        <f t="shared" ref="AE17:AE76" si="2">SUM(AC17:AD17)</f>
        <v>0</v>
      </c>
      <c r="AF17" s="37">
        <f t="shared" ref="AF17:AF76" si="3">IF(AE17=1,AC17,0)</f>
        <v>0</v>
      </c>
      <c r="AG17" s="37">
        <f t="shared" ref="AG17:AG76" si="4">IF(AE17=1,AD17,0)</f>
        <v>0</v>
      </c>
      <c r="AH17" s="39" t="str">
        <f t="shared" ref="AH17:AH20" si="5">IF(AD17=0,"",IF(AD17=1,2,0))</f>
        <v/>
      </c>
    </row>
    <row r="18" spans="1:34" ht="25.05" customHeight="1" x14ac:dyDescent="0.25">
      <c r="A18" s="5" t="s">
        <v>6</v>
      </c>
      <c r="B18" s="2"/>
      <c r="C18" s="2"/>
      <c r="D18" s="24"/>
      <c r="AA18" s="34" t="b">
        <v>0</v>
      </c>
      <c r="AB18" s="34" t="b">
        <v>0</v>
      </c>
      <c r="AC18" s="35">
        <f t="shared" si="0"/>
        <v>0</v>
      </c>
      <c r="AD18" s="35">
        <f t="shared" si="1"/>
        <v>0</v>
      </c>
      <c r="AE18" s="35">
        <f t="shared" si="2"/>
        <v>0</v>
      </c>
      <c r="AF18" s="37">
        <f t="shared" si="3"/>
        <v>0</v>
      </c>
      <c r="AG18" s="37">
        <f t="shared" si="4"/>
        <v>0</v>
      </c>
      <c r="AH18" s="39" t="str">
        <f t="shared" si="5"/>
        <v/>
      </c>
    </row>
    <row r="19" spans="1:34" ht="25.05" customHeight="1" x14ac:dyDescent="0.25">
      <c r="A19" s="32" t="s">
        <v>7</v>
      </c>
      <c r="B19" s="2"/>
      <c r="C19" s="2"/>
      <c r="D19" s="29"/>
      <c r="AA19" s="34" t="b">
        <v>0</v>
      </c>
      <c r="AB19" s="34" t="b">
        <v>0</v>
      </c>
      <c r="AC19" s="35">
        <f t="shared" ref="AC19" si="6">IF(AA19="","",IF(AA19=TRUE,1,0))</f>
        <v>0</v>
      </c>
      <c r="AD19" s="35">
        <f t="shared" si="1"/>
        <v>0</v>
      </c>
      <c r="AE19" s="35">
        <f t="shared" ref="AE19" si="7">SUM(AC19:AD19)</f>
        <v>0</v>
      </c>
      <c r="AF19" s="37">
        <f t="shared" ref="AF19" si="8">IF(AE19=1,AC19,0)</f>
        <v>0</v>
      </c>
      <c r="AG19" s="37">
        <f t="shared" ref="AG19" si="9">IF(AE19=1,AD19,0)</f>
        <v>0</v>
      </c>
      <c r="AH19" s="39" t="str">
        <f t="shared" si="5"/>
        <v/>
      </c>
    </row>
    <row r="20" spans="1:34" ht="25.05" customHeight="1" thickBot="1" x14ac:dyDescent="0.3">
      <c r="A20" s="31"/>
      <c r="B20" s="7"/>
      <c r="C20" s="7"/>
      <c r="D20" s="25"/>
      <c r="AA20" s="34" t="b">
        <v>0</v>
      </c>
      <c r="AB20" s="34" t="b">
        <v>0</v>
      </c>
      <c r="AC20" s="35">
        <f t="shared" si="0"/>
        <v>0</v>
      </c>
      <c r="AD20" s="35">
        <f t="shared" si="1"/>
        <v>0</v>
      </c>
      <c r="AE20" s="35">
        <f t="shared" si="2"/>
        <v>0</v>
      </c>
      <c r="AF20" s="37">
        <f t="shared" si="3"/>
        <v>0</v>
      </c>
      <c r="AG20" s="37">
        <f t="shared" si="4"/>
        <v>0</v>
      </c>
      <c r="AH20" s="39" t="str">
        <f t="shared" si="5"/>
        <v/>
      </c>
    </row>
    <row r="21" spans="1:34" ht="21.6" customHeight="1" thickBot="1" x14ac:dyDescent="0.3">
      <c r="A21" s="15" t="s">
        <v>53</v>
      </c>
      <c r="B21" s="18">
        <f>AF21</f>
        <v>0</v>
      </c>
      <c r="C21" s="18">
        <f>AG21</f>
        <v>0</v>
      </c>
      <c r="AC21" s="35" t="str">
        <f t="shared" si="0"/>
        <v/>
      </c>
      <c r="AD21" s="35" t="str">
        <f t="shared" si="0"/>
        <v/>
      </c>
      <c r="AF21" s="38">
        <f>SUM(AF16:AF20)</f>
        <v>0</v>
      </c>
      <c r="AG21" s="38">
        <f>SUM(AG16:AG20)</f>
        <v>0</v>
      </c>
    </row>
    <row r="22" spans="1:34" ht="21.6" customHeight="1" thickBot="1" x14ac:dyDescent="0.3">
      <c r="A22" s="10" t="s">
        <v>0</v>
      </c>
      <c r="B22" s="11" t="s">
        <v>1</v>
      </c>
      <c r="C22" s="14" t="s">
        <v>2</v>
      </c>
      <c r="D22" s="12" t="s">
        <v>3</v>
      </c>
      <c r="AC22" s="35" t="str">
        <f t="shared" si="0"/>
        <v/>
      </c>
      <c r="AD22" s="35" t="str">
        <f t="shared" si="0"/>
        <v/>
      </c>
      <c r="AF22" s="37"/>
      <c r="AG22" s="37"/>
    </row>
    <row r="23" spans="1:34" ht="21.6" customHeight="1" x14ac:dyDescent="0.25">
      <c r="A23" s="13" t="s">
        <v>8</v>
      </c>
      <c r="B23" s="2"/>
      <c r="C23" s="2"/>
      <c r="D23" s="26"/>
      <c r="AA23" s="34" t="b">
        <v>0</v>
      </c>
      <c r="AB23" s="34" t="b">
        <v>0</v>
      </c>
      <c r="AC23" s="35">
        <f t="shared" si="0"/>
        <v>0</v>
      </c>
      <c r="AD23" s="35">
        <f>IF(AB23="","",IF(AB23=TRUE,0.5,0))</f>
        <v>0</v>
      </c>
      <c r="AE23" s="35">
        <f t="shared" si="2"/>
        <v>0</v>
      </c>
      <c r="AF23" s="37">
        <f t="shared" si="3"/>
        <v>0</v>
      </c>
      <c r="AG23" s="37">
        <f t="shared" si="4"/>
        <v>0</v>
      </c>
      <c r="AH23" s="39" t="str">
        <f>IF(AD23=0,"",IF(AD23=1,2,0))</f>
        <v/>
      </c>
    </row>
    <row r="24" spans="1:34" ht="21.6" customHeight="1" x14ac:dyDescent="0.25">
      <c r="A24" s="5" t="s">
        <v>9</v>
      </c>
      <c r="B24" s="2"/>
      <c r="C24" s="2"/>
      <c r="D24" s="27"/>
      <c r="AA24" s="34" t="b">
        <v>0</v>
      </c>
      <c r="AB24" s="34" t="b">
        <v>0</v>
      </c>
      <c r="AC24" s="35">
        <f t="shared" si="0"/>
        <v>0</v>
      </c>
      <c r="AD24" s="35">
        <f t="shared" ref="AD24:AD27" si="10">IF(AB24="","",IF(AB24=TRUE,0.5,0))</f>
        <v>0</v>
      </c>
      <c r="AE24" s="35">
        <f t="shared" si="2"/>
        <v>0</v>
      </c>
      <c r="AF24" s="37">
        <f t="shared" si="3"/>
        <v>0</v>
      </c>
      <c r="AG24" s="37">
        <f t="shared" si="4"/>
        <v>0</v>
      </c>
      <c r="AH24" s="39" t="str">
        <f t="shared" ref="AH24:AH27" si="11">IF(AD24=0,"",IF(AD24=1,2,0))</f>
        <v/>
      </c>
    </row>
    <row r="25" spans="1:34" ht="21.6" customHeight="1" x14ac:dyDescent="0.25">
      <c r="A25" s="5" t="s">
        <v>10</v>
      </c>
      <c r="B25" s="2"/>
      <c r="C25" s="2"/>
      <c r="D25" s="27"/>
      <c r="AA25" s="34" t="b">
        <v>0</v>
      </c>
      <c r="AB25" s="34" t="b">
        <v>0</v>
      </c>
      <c r="AC25" s="35">
        <f t="shared" si="0"/>
        <v>0</v>
      </c>
      <c r="AD25" s="35">
        <f t="shared" si="10"/>
        <v>0</v>
      </c>
      <c r="AE25" s="35">
        <f t="shared" si="2"/>
        <v>0</v>
      </c>
      <c r="AF25" s="37">
        <f t="shared" si="3"/>
        <v>0</v>
      </c>
      <c r="AG25" s="37">
        <f t="shared" si="4"/>
        <v>0</v>
      </c>
      <c r="AH25" s="39" t="str">
        <f t="shared" si="11"/>
        <v/>
      </c>
    </row>
    <row r="26" spans="1:34" ht="21.6" customHeight="1" x14ac:dyDescent="0.25">
      <c r="A26" s="32" t="s">
        <v>11</v>
      </c>
      <c r="B26" s="2"/>
      <c r="C26" s="2"/>
      <c r="D26" s="30"/>
      <c r="AA26" s="34" t="b">
        <v>0</v>
      </c>
      <c r="AB26" s="34" t="b">
        <v>0</v>
      </c>
      <c r="AC26" s="35">
        <f t="shared" ref="AC26" si="12">IF(AA26="","",IF(AA26=TRUE,1,0))</f>
        <v>0</v>
      </c>
      <c r="AD26" s="35">
        <f t="shared" si="10"/>
        <v>0</v>
      </c>
      <c r="AE26" s="35">
        <f t="shared" ref="AE26" si="13">SUM(AC26:AD26)</f>
        <v>0</v>
      </c>
      <c r="AF26" s="37">
        <f t="shared" ref="AF26" si="14">IF(AE26=1,AC26,0)</f>
        <v>0</v>
      </c>
      <c r="AG26" s="37">
        <f t="shared" ref="AG26" si="15">IF(AE26=1,AD26,0)</f>
        <v>0</v>
      </c>
      <c r="AH26" s="39" t="str">
        <f t="shared" si="11"/>
        <v/>
      </c>
    </row>
    <row r="27" spans="1:34" ht="21.6" customHeight="1" thickBot="1" x14ac:dyDescent="0.3">
      <c r="A27" s="31"/>
      <c r="B27" s="7"/>
      <c r="C27" s="7"/>
      <c r="D27" s="28"/>
      <c r="AA27" s="34" t="b">
        <v>0</v>
      </c>
      <c r="AB27" s="34" t="b">
        <v>0</v>
      </c>
      <c r="AC27" s="35">
        <f t="shared" si="0"/>
        <v>0</v>
      </c>
      <c r="AD27" s="35">
        <f t="shared" si="10"/>
        <v>0</v>
      </c>
      <c r="AE27" s="35">
        <f t="shared" si="2"/>
        <v>0</v>
      </c>
      <c r="AF27" s="37">
        <f t="shared" si="3"/>
        <v>0</v>
      </c>
      <c r="AG27" s="37">
        <f t="shared" si="4"/>
        <v>0</v>
      </c>
      <c r="AH27" s="39" t="str">
        <f t="shared" si="11"/>
        <v/>
      </c>
    </row>
    <row r="28" spans="1:34" ht="21.6" customHeight="1" thickBot="1" x14ac:dyDescent="0.3">
      <c r="A28" s="15" t="s">
        <v>52</v>
      </c>
      <c r="B28" s="18">
        <f>AF28</f>
        <v>0</v>
      </c>
      <c r="C28" s="18">
        <f>AG28</f>
        <v>0</v>
      </c>
      <c r="AC28" s="35" t="str">
        <f t="shared" si="0"/>
        <v/>
      </c>
      <c r="AD28" s="35" t="str">
        <f t="shared" si="0"/>
        <v/>
      </c>
      <c r="AF28" s="38">
        <f>SUM(AF23:AF27)</f>
        <v>0</v>
      </c>
      <c r="AG28" s="38">
        <f>SUM(AG23:AG27)</f>
        <v>0</v>
      </c>
    </row>
    <row r="29" spans="1:34" ht="21.6" customHeight="1" thickBot="1" x14ac:dyDescent="0.3">
      <c r="A29" s="10" t="s">
        <v>0</v>
      </c>
      <c r="B29" s="11" t="s">
        <v>1</v>
      </c>
      <c r="C29" s="14" t="s">
        <v>2</v>
      </c>
      <c r="D29" s="12" t="s">
        <v>3</v>
      </c>
      <c r="AC29" s="35" t="str">
        <f t="shared" si="0"/>
        <v/>
      </c>
      <c r="AD29" s="35" t="str">
        <f t="shared" si="0"/>
        <v/>
      </c>
      <c r="AF29" s="37"/>
      <c r="AG29" s="37"/>
    </row>
    <row r="30" spans="1:34" ht="21.6" customHeight="1" x14ac:dyDescent="0.25">
      <c r="A30" s="13" t="s">
        <v>12</v>
      </c>
      <c r="B30" s="2"/>
      <c r="C30" s="2"/>
      <c r="D30" s="26"/>
      <c r="AA30" s="34" t="b">
        <v>0</v>
      </c>
      <c r="AB30" s="34" t="b">
        <v>0</v>
      </c>
      <c r="AC30" s="35">
        <f t="shared" si="0"/>
        <v>0</v>
      </c>
      <c r="AD30" s="35">
        <f>IF(AB30="","",IF(AB30=TRUE,0.5,0))</f>
        <v>0</v>
      </c>
      <c r="AE30" s="35">
        <f t="shared" si="2"/>
        <v>0</v>
      </c>
      <c r="AF30" s="37">
        <f t="shared" si="3"/>
        <v>0</v>
      </c>
      <c r="AG30" s="37">
        <f t="shared" si="4"/>
        <v>0</v>
      </c>
      <c r="AH30" s="39" t="str">
        <f>IF(AD30=0,"",IF(AD30=1,2,0))</f>
        <v/>
      </c>
    </row>
    <row r="31" spans="1:34" ht="21.6" customHeight="1" x14ac:dyDescent="0.25">
      <c r="A31" s="5" t="s">
        <v>13</v>
      </c>
      <c r="B31" s="2"/>
      <c r="C31" s="2"/>
      <c r="D31" s="27"/>
      <c r="AA31" s="34" t="b">
        <v>0</v>
      </c>
      <c r="AB31" s="34" t="b">
        <v>0</v>
      </c>
      <c r="AC31" s="35">
        <f t="shared" si="0"/>
        <v>0</v>
      </c>
      <c r="AD31" s="35">
        <f t="shared" ref="AD31:AD34" si="16">IF(AB31="","",IF(AB31=TRUE,0.5,0))</f>
        <v>0</v>
      </c>
      <c r="AE31" s="35">
        <f t="shared" si="2"/>
        <v>0</v>
      </c>
      <c r="AF31" s="37">
        <f t="shared" si="3"/>
        <v>0</v>
      </c>
      <c r="AG31" s="37">
        <f t="shared" si="4"/>
        <v>0</v>
      </c>
      <c r="AH31" s="39" t="str">
        <f t="shared" ref="AH31:AH34" si="17">IF(AD31=0,"",IF(AD31=1,2,0))</f>
        <v/>
      </c>
    </row>
    <row r="32" spans="1:34" ht="21.6" customHeight="1" x14ac:dyDescent="0.25">
      <c r="A32" s="5" t="s">
        <v>14</v>
      </c>
      <c r="B32" s="2"/>
      <c r="C32" s="2"/>
      <c r="D32" s="27"/>
      <c r="AA32" s="34" t="b">
        <v>0</v>
      </c>
      <c r="AB32" s="34" t="b">
        <v>0</v>
      </c>
      <c r="AC32" s="35">
        <f t="shared" si="0"/>
        <v>0</v>
      </c>
      <c r="AD32" s="35">
        <f t="shared" si="16"/>
        <v>0</v>
      </c>
      <c r="AE32" s="35">
        <f t="shared" si="2"/>
        <v>0</v>
      </c>
      <c r="AF32" s="37">
        <f t="shared" si="3"/>
        <v>0</v>
      </c>
      <c r="AG32" s="37">
        <f t="shared" si="4"/>
        <v>0</v>
      </c>
      <c r="AH32" s="39" t="str">
        <f t="shared" si="17"/>
        <v/>
      </c>
    </row>
    <row r="33" spans="1:34" ht="21.6" customHeight="1" x14ac:dyDescent="0.25">
      <c r="A33" s="32" t="s">
        <v>15</v>
      </c>
      <c r="B33" s="2"/>
      <c r="C33" s="2"/>
      <c r="D33" s="30"/>
      <c r="AA33" s="34" t="b">
        <v>0</v>
      </c>
      <c r="AB33" s="34" t="b">
        <v>0</v>
      </c>
      <c r="AC33" s="35">
        <f t="shared" ref="AC33" si="18">IF(AA33="","",IF(AA33=TRUE,1,0))</f>
        <v>0</v>
      </c>
      <c r="AD33" s="35">
        <f t="shared" si="16"/>
        <v>0</v>
      </c>
      <c r="AE33" s="35">
        <f t="shared" ref="AE33" si="19">SUM(AC33:AD33)</f>
        <v>0</v>
      </c>
      <c r="AF33" s="37">
        <f t="shared" ref="AF33" si="20">IF(AE33=1,AC33,0)</f>
        <v>0</v>
      </c>
      <c r="AG33" s="37">
        <f t="shared" ref="AG33" si="21">IF(AE33=1,AD33,0)</f>
        <v>0</v>
      </c>
      <c r="AH33" s="39" t="str">
        <f t="shared" si="17"/>
        <v/>
      </c>
    </row>
    <row r="34" spans="1:34" ht="21.6" customHeight="1" thickBot="1" x14ac:dyDescent="0.3">
      <c r="A34" s="31"/>
      <c r="B34" s="7"/>
      <c r="C34" s="7"/>
      <c r="D34" s="28"/>
      <c r="AA34" s="34" t="b">
        <v>0</v>
      </c>
      <c r="AB34" s="34" t="b">
        <v>0</v>
      </c>
      <c r="AC34" s="35">
        <f t="shared" si="0"/>
        <v>0</v>
      </c>
      <c r="AD34" s="35">
        <f t="shared" si="16"/>
        <v>0</v>
      </c>
      <c r="AE34" s="35">
        <f t="shared" si="2"/>
        <v>0</v>
      </c>
      <c r="AF34" s="37">
        <f t="shared" si="3"/>
        <v>0</v>
      </c>
      <c r="AG34" s="37">
        <f t="shared" si="4"/>
        <v>0</v>
      </c>
      <c r="AH34" s="39" t="str">
        <f t="shared" si="17"/>
        <v/>
      </c>
    </row>
    <row r="35" spans="1:34" ht="21.6" customHeight="1" thickBot="1" x14ac:dyDescent="0.3">
      <c r="A35" s="15" t="s">
        <v>51</v>
      </c>
      <c r="B35" s="18">
        <f>AF35</f>
        <v>0</v>
      </c>
      <c r="C35" s="18">
        <f>AG35</f>
        <v>0</v>
      </c>
      <c r="AC35" s="35" t="str">
        <f t="shared" si="0"/>
        <v/>
      </c>
      <c r="AD35" s="35" t="str">
        <f t="shared" si="0"/>
        <v/>
      </c>
      <c r="AF35" s="38">
        <f>SUM(AF30:AF34)</f>
        <v>0</v>
      </c>
      <c r="AG35" s="38">
        <f>SUM(AG30:AG34)</f>
        <v>0</v>
      </c>
    </row>
    <row r="36" spans="1:34" ht="21.6" customHeight="1" thickBot="1" x14ac:dyDescent="0.3">
      <c r="A36" s="10" t="s">
        <v>0</v>
      </c>
      <c r="B36" s="11" t="s">
        <v>1</v>
      </c>
      <c r="C36" s="14" t="s">
        <v>2</v>
      </c>
      <c r="D36" s="12" t="s">
        <v>3</v>
      </c>
      <c r="AC36" s="35" t="str">
        <f t="shared" si="0"/>
        <v/>
      </c>
      <c r="AD36" s="35" t="str">
        <f t="shared" si="0"/>
        <v/>
      </c>
      <c r="AF36" s="37"/>
      <c r="AG36" s="37"/>
    </row>
    <row r="37" spans="1:34" ht="21.6" customHeight="1" x14ac:dyDescent="0.25">
      <c r="A37" s="13" t="s">
        <v>16</v>
      </c>
      <c r="B37" s="2"/>
      <c r="C37" s="2"/>
      <c r="D37" s="26"/>
      <c r="AA37" s="34" t="b">
        <v>0</v>
      </c>
      <c r="AB37" s="34" t="b">
        <v>0</v>
      </c>
      <c r="AC37" s="35">
        <f t="shared" si="0"/>
        <v>0</v>
      </c>
      <c r="AD37" s="35">
        <f>IF(AB37="","",IF(AB37=TRUE,0.5,0))</f>
        <v>0</v>
      </c>
      <c r="AE37" s="35">
        <f t="shared" si="2"/>
        <v>0</v>
      </c>
      <c r="AF37" s="37">
        <f t="shared" si="3"/>
        <v>0</v>
      </c>
      <c r="AG37" s="37">
        <f t="shared" si="4"/>
        <v>0</v>
      </c>
      <c r="AH37" s="39" t="str">
        <f>IF(AD37=0,"",IF(AD37=1,2,0))</f>
        <v/>
      </c>
    </row>
    <row r="38" spans="1:34" ht="21.6" customHeight="1" x14ac:dyDescent="0.25">
      <c r="A38" s="5" t="s">
        <v>17</v>
      </c>
      <c r="B38" s="2"/>
      <c r="C38" s="2"/>
      <c r="D38" s="27"/>
      <c r="AA38" s="34" t="b">
        <v>0</v>
      </c>
      <c r="AB38" s="34" t="b">
        <v>0</v>
      </c>
      <c r="AC38" s="35">
        <f t="shared" si="0"/>
        <v>0</v>
      </c>
      <c r="AD38" s="35">
        <f t="shared" ref="AD38:AD41" si="22">IF(AB38="","",IF(AB38=TRUE,0.5,0))</f>
        <v>0</v>
      </c>
      <c r="AE38" s="35">
        <f t="shared" si="2"/>
        <v>0</v>
      </c>
      <c r="AF38" s="37">
        <f t="shared" si="3"/>
        <v>0</v>
      </c>
      <c r="AG38" s="37">
        <f t="shared" si="4"/>
        <v>0</v>
      </c>
      <c r="AH38" s="39" t="str">
        <f t="shared" ref="AH38:AH41" si="23">IF(AD38=0,"",IF(AD38=1,2,0))</f>
        <v/>
      </c>
    </row>
    <row r="39" spans="1:34" ht="21.6" customHeight="1" x14ac:dyDescent="0.25">
      <c r="A39" s="5" t="s">
        <v>18</v>
      </c>
      <c r="B39" s="2"/>
      <c r="C39" s="2"/>
      <c r="D39" s="27"/>
      <c r="AA39" s="34" t="b">
        <v>0</v>
      </c>
      <c r="AB39" s="34" t="b">
        <v>0</v>
      </c>
      <c r="AC39" s="35">
        <f t="shared" si="0"/>
        <v>0</v>
      </c>
      <c r="AD39" s="35">
        <f t="shared" si="22"/>
        <v>0</v>
      </c>
      <c r="AE39" s="35">
        <f t="shared" si="2"/>
        <v>0</v>
      </c>
      <c r="AF39" s="37">
        <f t="shared" si="3"/>
        <v>0</v>
      </c>
      <c r="AG39" s="37">
        <f t="shared" si="4"/>
        <v>0</v>
      </c>
      <c r="AH39" s="39" t="str">
        <f t="shared" si="23"/>
        <v/>
      </c>
    </row>
    <row r="40" spans="1:34" ht="21.6" customHeight="1" x14ac:dyDescent="0.25">
      <c r="A40" s="32" t="s">
        <v>19</v>
      </c>
      <c r="B40" s="2"/>
      <c r="C40" s="2"/>
      <c r="D40" s="30"/>
      <c r="AA40" s="34" t="b">
        <v>0</v>
      </c>
      <c r="AB40" s="34" t="b">
        <v>0</v>
      </c>
      <c r="AC40" s="35">
        <f t="shared" ref="AC40" si="24">IF(AA40="","",IF(AA40=TRUE,1,0))</f>
        <v>0</v>
      </c>
      <c r="AD40" s="35">
        <f t="shared" si="22"/>
        <v>0</v>
      </c>
      <c r="AE40" s="35">
        <f t="shared" ref="AE40" si="25">SUM(AC40:AD40)</f>
        <v>0</v>
      </c>
      <c r="AF40" s="37">
        <f t="shared" ref="AF40" si="26">IF(AE40=1,AC40,0)</f>
        <v>0</v>
      </c>
      <c r="AG40" s="37">
        <f t="shared" ref="AG40" si="27">IF(AE40=1,AD40,0)</f>
        <v>0</v>
      </c>
      <c r="AH40" s="39" t="str">
        <f t="shared" si="23"/>
        <v/>
      </c>
    </row>
    <row r="41" spans="1:34" ht="21.6" customHeight="1" thickBot="1" x14ac:dyDescent="0.3">
      <c r="A41" s="31"/>
      <c r="B41" s="7"/>
      <c r="C41" s="7"/>
      <c r="D41" s="28"/>
      <c r="AA41" s="34" t="b">
        <v>0</v>
      </c>
      <c r="AB41" s="34" t="b">
        <v>0</v>
      </c>
      <c r="AC41" s="35">
        <f t="shared" si="0"/>
        <v>0</v>
      </c>
      <c r="AD41" s="35">
        <f t="shared" si="22"/>
        <v>0</v>
      </c>
      <c r="AE41" s="35">
        <f t="shared" si="2"/>
        <v>0</v>
      </c>
      <c r="AF41" s="37">
        <f t="shared" si="3"/>
        <v>0</v>
      </c>
      <c r="AG41" s="37">
        <f t="shared" si="4"/>
        <v>0</v>
      </c>
      <c r="AH41" s="39" t="str">
        <f t="shared" si="23"/>
        <v/>
      </c>
    </row>
    <row r="42" spans="1:34" ht="21.6" customHeight="1" thickBot="1" x14ac:dyDescent="0.3">
      <c r="A42" s="17" t="s">
        <v>58</v>
      </c>
      <c r="B42" s="18">
        <f>AF42</f>
        <v>0</v>
      </c>
      <c r="C42" s="18">
        <f>AG42</f>
        <v>0</v>
      </c>
      <c r="AC42" s="35" t="str">
        <f t="shared" si="0"/>
        <v/>
      </c>
      <c r="AD42" s="35" t="str">
        <f t="shared" si="0"/>
        <v/>
      </c>
      <c r="AF42" s="38">
        <f>SUM(AF37:AF41)</f>
        <v>0</v>
      </c>
      <c r="AG42" s="38">
        <f>SUM(AG37:AG41)</f>
        <v>0</v>
      </c>
    </row>
    <row r="43" spans="1:34" ht="21.6" customHeight="1" thickBot="1" x14ac:dyDescent="0.3">
      <c r="A43" s="10" t="s">
        <v>0</v>
      </c>
      <c r="B43" s="11" t="s">
        <v>1</v>
      </c>
      <c r="C43" s="14" t="s">
        <v>2</v>
      </c>
      <c r="D43" s="12" t="s">
        <v>3</v>
      </c>
      <c r="AC43" s="35" t="str">
        <f t="shared" si="0"/>
        <v/>
      </c>
      <c r="AD43" s="35" t="str">
        <f t="shared" si="0"/>
        <v/>
      </c>
      <c r="AF43" s="37"/>
      <c r="AG43" s="37"/>
    </row>
    <row r="44" spans="1:34" ht="21.6" customHeight="1" x14ac:dyDescent="0.25">
      <c r="A44" s="13" t="s">
        <v>20</v>
      </c>
      <c r="B44" s="2"/>
      <c r="C44" s="2"/>
      <c r="D44" s="26"/>
      <c r="AA44" s="34" t="b">
        <v>0</v>
      </c>
      <c r="AB44" s="34" t="b">
        <v>0</v>
      </c>
      <c r="AC44" s="35">
        <f t="shared" si="0"/>
        <v>0</v>
      </c>
      <c r="AD44" s="35">
        <f>IF(AB44="","",IF(AB44=TRUE,0.5,0))</f>
        <v>0</v>
      </c>
      <c r="AE44" s="35">
        <f t="shared" si="2"/>
        <v>0</v>
      </c>
      <c r="AF44" s="37">
        <f t="shared" si="3"/>
        <v>0</v>
      </c>
      <c r="AG44" s="37">
        <f t="shared" si="4"/>
        <v>0</v>
      </c>
      <c r="AH44" s="39" t="str">
        <f>IF(AD44=0,"",IF(AD44=1,2,0))</f>
        <v/>
      </c>
    </row>
    <row r="45" spans="1:34" ht="21.6" customHeight="1" x14ac:dyDescent="0.25">
      <c r="A45" s="5" t="s">
        <v>21</v>
      </c>
      <c r="B45" s="2"/>
      <c r="C45" s="2"/>
      <c r="D45" s="27"/>
      <c r="AA45" s="34" t="b">
        <v>0</v>
      </c>
      <c r="AB45" s="34" t="b">
        <v>0</v>
      </c>
      <c r="AC45" s="35">
        <f t="shared" si="0"/>
        <v>0</v>
      </c>
      <c r="AD45" s="35">
        <f t="shared" ref="AD45:AD48" si="28">IF(AB45="","",IF(AB45=TRUE,0.5,0))</f>
        <v>0</v>
      </c>
      <c r="AE45" s="35">
        <f t="shared" si="2"/>
        <v>0</v>
      </c>
      <c r="AF45" s="37">
        <f t="shared" si="3"/>
        <v>0</v>
      </c>
      <c r="AG45" s="37">
        <f t="shared" si="4"/>
        <v>0</v>
      </c>
      <c r="AH45" s="39" t="str">
        <f t="shared" ref="AH45:AH48" si="29">IF(AD45=0,"",IF(AD45=1,2,0))</f>
        <v/>
      </c>
    </row>
    <row r="46" spans="1:34" ht="21.6" customHeight="1" x14ac:dyDescent="0.25">
      <c r="A46" s="5" t="s">
        <v>22</v>
      </c>
      <c r="B46" s="2"/>
      <c r="C46" s="2"/>
      <c r="D46" s="27"/>
      <c r="AA46" s="34" t="b">
        <v>0</v>
      </c>
      <c r="AB46" s="34" t="b">
        <v>0</v>
      </c>
      <c r="AC46" s="35">
        <f t="shared" si="0"/>
        <v>0</v>
      </c>
      <c r="AD46" s="35">
        <f t="shared" si="28"/>
        <v>0</v>
      </c>
      <c r="AE46" s="35">
        <f t="shared" si="2"/>
        <v>0</v>
      </c>
      <c r="AF46" s="37">
        <f t="shared" si="3"/>
        <v>0</v>
      </c>
      <c r="AG46" s="37">
        <f t="shared" si="4"/>
        <v>0</v>
      </c>
      <c r="AH46" s="39" t="str">
        <f t="shared" si="29"/>
        <v/>
      </c>
    </row>
    <row r="47" spans="1:34" ht="21.6" customHeight="1" x14ac:dyDescent="0.25">
      <c r="A47" s="32" t="s">
        <v>23</v>
      </c>
      <c r="B47" s="2"/>
      <c r="C47" s="2"/>
      <c r="D47" s="30"/>
      <c r="AA47" s="34" t="b">
        <v>0</v>
      </c>
      <c r="AB47" s="34" t="b">
        <v>0</v>
      </c>
      <c r="AC47" s="35">
        <f t="shared" ref="AC47" si="30">IF(AA47="","",IF(AA47=TRUE,1,0))</f>
        <v>0</v>
      </c>
      <c r="AD47" s="35">
        <f t="shared" si="28"/>
        <v>0</v>
      </c>
      <c r="AE47" s="35">
        <f t="shared" ref="AE47" si="31">SUM(AC47:AD47)</f>
        <v>0</v>
      </c>
      <c r="AF47" s="37">
        <f t="shared" ref="AF47" si="32">IF(AE47=1,AC47,0)</f>
        <v>0</v>
      </c>
      <c r="AG47" s="37">
        <f t="shared" ref="AG47" si="33">IF(AE47=1,AD47,0)</f>
        <v>0</v>
      </c>
      <c r="AH47" s="39" t="str">
        <f t="shared" si="29"/>
        <v/>
      </c>
    </row>
    <row r="48" spans="1:34" ht="21.6" customHeight="1" thickBot="1" x14ac:dyDescent="0.3">
      <c r="A48" s="31"/>
      <c r="B48" s="7"/>
      <c r="C48" s="7"/>
      <c r="D48" s="28"/>
      <c r="AA48" s="34" t="b">
        <v>0</v>
      </c>
      <c r="AB48" s="34" t="b">
        <v>0</v>
      </c>
      <c r="AC48" s="35">
        <f t="shared" si="0"/>
        <v>0</v>
      </c>
      <c r="AD48" s="35">
        <f t="shared" si="28"/>
        <v>0</v>
      </c>
      <c r="AE48" s="35">
        <f t="shared" si="2"/>
        <v>0</v>
      </c>
      <c r="AF48" s="37">
        <f t="shared" si="3"/>
        <v>0</v>
      </c>
      <c r="AG48" s="37">
        <f t="shared" si="4"/>
        <v>0</v>
      </c>
      <c r="AH48" s="39" t="str">
        <f t="shared" si="29"/>
        <v/>
      </c>
    </row>
    <row r="49" spans="1:34" ht="21.6" customHeight="1" thickBot="1" x14ac:dyDescent="0.3">
      <c r="A49" s="17" t="s">
        <v>57</v>
      </c>
      <c r="B49" s="18">
        <f>AF49</f>
        <v>0</v>
      </c>
      <c r="C49" s="18">
        <f>AG49</f>
        <v>0</v>
      </c>
      <c r="AC49" s="35" t="str">
        <f t="shared" si="0"/>
        <v/>
      </c>
      <c r="AD49" s="35" t="str">
        <f t="shared" si="0"/>
        <v/>
      </c>
      <c r="AF49" s="38">
        <f>SUM(AF44:AF48)</f>
        <v>0</v>
      </c>
      <c r="AG49" s="38">
        <f>SUM(AG44:AG48)</f>
        <v>0</v>
      </c>
    </row>
    <row r="50" spans="1:34" ht="21.6" customHeight="1" thickBot="1" x14ac:dyDescent="0.3">
      <c r="A50" s="10" t="s">
        <v>0</v>
      </c>
      <c r="B50" s="11" t="s">
        <v>1</v>
      </c>
      <c r="C50" s="14" t="s">
        <v>2</v>
      </c>
      <c r="D50" s="12" t="s">
        <v>3</v>
      </c>
      <c r="AC50" s="35" t="str">
        <f t="shared" si="0"/>
        <v/>
      </c>
      <c r="AD50" s="35" t="str">
        <f t="shared" si="0"/>
        <v/>
      </c>
      <c r="AF50" s="37"/>
      <c r="AG50" s="37"/>
    </row>
    <row r="51" spans="1:34" ht="21.6" customHeight="1" x14ac:dyDescent="0.25">
      <c r="A51" s="13" t="s">
        <v>24</v>
      </c>
      <c r="B51" s="2"/>
      <c r="C51" s="2"/>
      <c r="D51" s="26"/>
      <c r="AA51" s="34" t="b">
        <v>0</v>
      </c>
      <c r="AB51" s="34" t="b">
        <v>0</v>
      </c>
      <c r="AC51" s="35">
        <f t="shared" si="0"/>
        <v>0</v>
      </c>
      <c r="AD51" s="35">
        <f>IF(AB51="","",IF(AB51=TRUE,0.5,0))</f>
        <v>0</v>
      </c>
      <c r="AE51" s="35">
        <f t="shared" si="2"/>
        <v>0</v>
      </c>
      <c r="AF51" s="37">
        <f t="shared" si="3"/>
        <v>0</v>
      </c>
      <c r="AG51" s="37">
        <f t="shared" si="4"/>
        <v>0</v>
      </c>
      <c r="AH51" s="39" t="str">
        <f>IF(AD51=0,"",IF(AD51=1,2,0))</f>
        <v/>
      </c>
    </row>
    <row r="52" spans="1:34" ht="21.6" customHeight="1" x14ac:dyDescent="0.25">
      <c r="A52" s="5" t="s">
        <v>25</v>
      </c>
      <c r="B52" s="2"/>
      <c r="C52" s="2"/>
      <c r="D52" s="27"/>
      <c r="AA52" s="34" t="b">
        <v>0</v>
      </c>
      <c r="AB52" s="34" t="b">
        <v>0</v>
      </c>
      <c r="AC52" s="35">
        <f t="shared" si="0"/>
        <v>0</v>
      </c>
      <c r="AD52" s="35">
        <f t="shared" ref="AD52:AD55" si="34">IF(AB52="","",IF(AB52=TRUE,0.5,0))</f>
        <v>0</v>
      </c>
      <c r="AE52" s="35">
        <f t="shared" si="2"/>
        <v>0</v>
      </c>
      <c r="AF52" s="37">
        <f t="shared" si="3"/>
        <v>0</v>
      </c>
      <c r="AG52" s="37">
        <f t="shared" si="4"/>
        <v>0</v>
      </c>
      <c r="AH52" s="39" t="str">
        <f t="shared" ref="AH52:AH55" si="35">IF(AD52=0,"",IF(AD52=1,2,0))</f>
        <v/>
      </c>
    </row>
    <row r="53" spans="1:34" ht="21.6" customHeight="1" x14ac:dyDescent="0.25">
      <c r="A53" s="5" t="s">
        <v>26</v>
      </c>
      <c r="B53" s="2"/>
      <c r="C53" s="2"/>
      <c r="D53" s="27"/>
      <c r="AA53" s="34" t="b">
        <v>0</v>
      </c>
      <c r="AB53" s="34" t="b">
        <v>0</v>
      </c>
      <c r="AC53" s="35">
        <f t="shared" si="0"/>
        <v>0</v>
      </c>
      <c r="AD53" s="35">
        <f t="shared" si="34"/>
        <v>0</v>
      </c>
      <c r="AE53" s="35">
        <f t="shared" si="2"/>
        <v>0</v>
      </c>
      <c r="AF53" s="37">
        <f t="shared" si="3"/>
        <v>0</v>
      </c>
      <c r="AG53" s="37">
        <f t="shared" si="4"/>
        <v>0</v>
      </c>
      <c r="AH53" s="39" t="str">
        <f t="shared" si="35"/>
        <v/>
      </c>
    </row>
    <row r="54" spans="1:34" ht="21.6" customHeight="1" x14ac:dyDescent="0.25">
      <c r="A54" s="5" t="s">
        <v>27</v>
      </c>
      <c r="B54" s="2"/>
      <c r="C54" s="2"/>
      <c r="D54" s="27"/>
      <c r="AA54" s="34" t="b">
        <v>0</v>
      </c>
      <c r="AB54" s="34" t="b">
        <v>0</v>
      </c>
      <c r="AC54" s="35">
        <f t="shared" si="0"/>
        <v>0</v>
      </c>
      <c r="AD54" s="35">
        <f t="shared" si="34"/>
        <v>0</v>
      </c>
      <c r="AE54" s="35">
        <f t="shared" si="2"/>
        <v>0</v>
      </c>
      <c r="AF54" s="37">
        <f t="shared" si="3"/>
        <v>0</v>
      </c>
      <c r="AG54" s="37">
        <f t="shared" si="4"/>
        <v>0</v>
      </c>
      <c r="AH54" s="39" t="str">
        <f t="shared" si="35"/>
        <v/>
      </c>
    </row>
    <row r="55" spans="1:34" ht="21.6" customHeight="1" thickBot="1" x14ac:dyDescent="0.3">
      <c r="A55" s="6" t="s">
        <v>28</v>
      </c>
      <c r="B55" s="7"/>
      <c r="C55" s="7"/>
      <c r="D55" s="28"/>
      <c r="AA55" s="34" t="b">
        <v>0</v>
      </c>
      <c r="AB55" s="34" t="b">
        <v>0</v>
      </c>
      <c r="AC55" s="35">
        <f t="shared" si="0"/>
        <v>0</v>
      </c>
      <c r="AD55" s="35">
        <f t="shared" si="34"/>
        <v>0</v>
      </c>
      <c r="AE55" s="35">
        <f t="shared" si="2"/>
        <v>0</v>
      </c>
      <c r="AF55" s="37">
        <f t="shared" si="3"/>
        <v>0</v>
      </c>
      <c r="AG55" s="37">
        <f t="shared" si="4"/>
        <v>0</v>
      </c>
      <c r="AH55" s="39" t="str">
        <f t="shared" si="35"/>
        <v/>
      </c>
    </row>
    <row r="56" spans="1:34" ht="21.6" customHeight="1" thickBot="1" x14ac:dyDescent="0.3">
      <c r="A56" s="15" t="s">
        <v>47</v>
      </c>
      <c r="B56" s="18">
        <f>AF56</f>
        <v>0</v>
      </c>
      <c r="C56" s="18">
        <f>AG56</f>
        <v>0</v>
      </c>
      <c r="AC56" s="35" t="str">
        <f t="shared" si="0"/>
        <v/>
      </c>
      <c r="AD56" s="35" t="str">
        <f t="shared" si="0"/>
        <v/>
      </c>
      <c r="AF56" s="38">
        <f>SUM(AF51:AF55)</f>
        <v>0</v>
      </c>
      <c r="AG56" s="38">
        <f>SUM(AG51:AG55)</f>
        <v>0</v>
      </c>
    </row>
    <row r="57" spans="1:34" ht="21.6" customHeight="1" thickBot="1" x14ac:dyDescent="0.3">
      <c r="A57" s="10" t="s">
        <v>0</v>
      </c>
      <c r="B57" s="11" t="s">
        <v>1</v>
      </c>
      <c r="C57" s="14" t="s">
        <v>2</v>
      </c>
      <c r="D57" s="12" t="s">
        <v>3</v>
      </c>
      <c r="AC57" s="35" t="str">
        <f t="shared" si="0"/>
        <v/>
      </c>
      <c r="AD57" s="35" t="str">
        <f t="shared" si="0"/>
        <v/>
      </c>
      <c r="AF57" s="37"/>
      <c r="AG57" s="37"/>
    </row>
    <row r="58" spans="1:34" ht="21.6" customHeight="1" x14ac:dyDescent="0.25">
      <c r="A58" s="13" t="s">
        <v>29</v>
      </c>
      <c r="B58" s="2"/>
      <c r="C58" s="2"/>
      <c r="D58" s="26"/>
      <c r="AA58" s="34" t="b">
        <v>0</v>
      </c>
      <c r="AB58" s="34" t="b">
        <v>0</v>
      </c>
      <c r="AC58" s="35">
        <f t="shared" si="0"/>
        <v>0</v>
      </c>
      <c r="AD58" s="35">
        <f>IF(AB58="","",IF(AB58=TRUE,0.5,0))</f>
        <v>0</v>
      </c>
      <c r="AE58" s="35">
        <f t="shared" si="2"/>
        <v>0</v>
      </c>
      <c r="AF58" s="37">
        <f t="shared" si="3"/>
        <v>0</v>
      </c>
      <c r="AG58" s="37">
        <f t="shared" si="4"/>
        <v>0</v>
      </c>
      <c r="AH58" s="39" t="str">
        <f>IF(AD58=0,"",IF(AD58=1,2,0))</f>
        <v/>
      </c>
    </row>
    <row r="59" spans="1:34" ht="21.6" customHeight="1" x14ac:dyDescent="0.25">
      <c r="A59" s="5" t="s">
        <v>30</v>
      </c>
      <c r="B59" s="2"/>
      <c r="C59" s="2"/>
      <c r="D59" s="27"/>
      <c r="AA59" s="34" t="b">
        <v>0</v>
      </c>
      <c r="AB59" s="34" t="b">
        <v>0</v>
      </c>
      <c r="AC59" s="35">
        <f t="shared" si="0"/>
        <v>0</v>
      </c>
      <c r="AD59" s="35">
        <f t="shared" ref="AD59:AD62" si="36">IF(AB59="","",IF(AB59=TRUE,0.5,0))</f>
        <v>0</v>
      </c>
      <c r="AE59" s="35">
        <f t="shared" si="2"/>
        <v>0</v>
      </c>
      <c r="AF59" s="37">
        <f t="shared" si="3"/>
        <v>0</v>
      </c>
      <c r="AG59" s="37">
        <f t="shared" si="4"/>
        <v>0</v>
      </c>
      <c r="AH59" s="39" t="str">
        <f t="shared" ref="AH59:AH62" si="37">IF(AD59=0,"",IF(AD59=1,2,0))</f>
        <v/>
      </c>
    </row>
    <row r="60" spans="1:34" ht="21.6" customHeight="1" x14ac:dyDescent="0.25">
      <c r="A60" s="5" t="s">
        <v>31</v>
      </c>
      <c r="B60" s="2"/>
      <c r="C60" s="2"/>
      <c r="D60" s="27"/>
      <c r="AA60" s="34" t="b">
        <v>0</v>
      </c>
      <c r="AB60" s="34" t="b">
        <v>0</v>
      </c>
      <c r="AC60" s="35">
        <f t="shared" si="0"/>
        <v>0</v>
      </c>
      <c r="AD60" s="35">
        <f t="shared" si="36"/>
        <v>0</v>
      </c>
      <c r="AE60" s="35">
        <f t="shared" si="2"/>
        <v>0</v>
      </c>
      <c r="AF60" s="37">
        <f t="shared" si="3"/>
        <v>0</v>
      </c>
      <c r="AG60" s="37">
        <f t="shared" si="4"/>
        <v>0</v>
      </c>
      <c r="AH60" s="39" t="str">
        <f t="shared" si="37"/>
        <v/>
      </c>
    </row>
    <row r="61" spans="1:34" ht="21.6" customHeight="1" x14ac:dyDescent="0.25">
      <c r="A61" s="32" t="s">
        <v>32</v>
      </c>
      <c r="B61" s="2"/>
      <c r="C61" s="2"/>
      <c r="D61" s="30"/>
      <c r="AA61" s="34" t="b">
        <v>0</v>
      </c>
      <c r="AB61" s="34" t="b">
        <v>0</v>
      </c>
      <c r="AC61" s="35">
        <f t="shared" ref="AC61" si="38">IF(AA61="","",IF(AA61=TRUE,1,0))</f>
        <v>0</v>
      </c>
      <c r="AD61" s="35">
        <f t="shared" si="36"/>
        <v>0</v>
      </c>
      <c r="AE61" s="35">
        <f t="shared" ref="AE61" si="39">SUM(AC61:AD61)</f>
        <v>0</v>
      </c>
      <c r="AF61" s="37">
        <f t="shared" ref="AF61" si="40">IF(AE61=1,AC61,0)</f>
        <v>0</v>
      </c>
      <c r="AG61" s="37">
        <f t="shared" ref="AG61" si="41">IF(AE61=1,AD61,0)</f>
        <v>0</v>
      </c>
      <c r="AH61" s="39" t="str">
        <f t="shared" si="37"/>
        <v/>
      </c>
    </row>
    <row r="62" spans="1:34" ht="21.6" customHeight="1" thickBot="1" x14ac:dyDescent="0.3">
      <c r="A62" s="31"/>
      <c r="B62" s="7"/>
      <c r="C62" s="7"/>
      <c r="D62" s="28"/>
      <c r="AA62" s="34" t="b">
        <v>0</v>
      </c>
      <c r="AB62" s="34" t="b">
        <v>0</v>
      </c>
      <c r="AC62" s="35">
        <f t="shared" si="0"/>
        <v>0</v>
      </c>
      <c r="AD62" s="35">
        <f t="shared" si="36"/>
        <v>0</v>
      </c>
      <c r="AE62" s="35">
        <f t="shared" si="2"/>
        <v>0</v>
      </c>
      <c r="AF62" s="37">
        <f t="shared" si="3"/>
        <v>0</v>
      </c>
      <c r="AG62" s="37">
        <f t="shared" si="4"/>
        <v>0</v>
      </c>
      <c r="AH62" s="39" t="str">
        <f t="shared" si="37"/>
        <v/>
      </c>
    </row>
    <row r="63" spans="1:34" ht="21.6" customHeight="1" thickBot="1" x14ac:dyDescent="0.3">
      <c r="A63" s="15" t="s">
        <v>48</v>
      </c>
      <c r="B63" s="18">
        <f>AF63</f>
        <v>0</v>
      </c>
      <c r="C63" s="18">
        <f>AG63</f>
        <v>0</v>
      </c>
      <c r="AC63" s="35" t="str">
        <f t="shared" si="0"/>
        <v/>
      </c>
      <c r="AD63" s="35" t="str">
        <f t="shared" si="0"/>
        <v/>
      </c>
      <c r="AF63" s="38">
        <f>SUM(AF58:AF62)</f>
        <v>0</v>
      </c>
      <c r="AG63" s="38">
        <f>SUM(AG58:AG62)</f>
        <v>0</v>
      </c>
    </row>
    <row r="64" spans="1:34" ht="21.6" customHeight="1" thickBot="1" x14ac:dyDescent="0.3">
      <c r="A64" s="10" t="s">
        <v>0</v>
      </c>
      <c r="B64" s="11" t="s">
        <v>1</v>
      </c>
      <c r="C64" s="14" t="s">
        <v>2</v>
      </c>
      <c r="D64" s="12" t="s">
        <v>3</v>
      </c>
      <c r="AC64" s="35" t="str">
        <f t="shared" si="0"/>
        <v/>
      </c>
      <c r="AD64" s="35" t="str">
        <f t="shared" si="0"/>
        <v/>
      </c>
      <c r="AF64" s="37"/>
      <c r="AG64" s="37"/>
    </row>
    <row r="65" spans="1:34" ht="21.6" customHeight="1" x14ac:dyDescent="0.25">
      <c r="A65" s="13" t="s">
        <v>33</v>
      </c>
      <c r="B65" s="2"/>
      <c r="C65" s="2"/>
      <c r="D65" s="26"/>
      <c r="AA65" s="34" t="b">
        <v>0</v>
      </c>
      <c r="AB65" s="34" t="b">
        <v>0</v>
      </c>
      <c r="AC65" s="35">
        <f t="shared" si="0"/>
        <v>0</v>
      </c>
      <c r="AD65" s="35">
        <f>IF(AB65="","",IF(AB65=TRUE,0.5,0))</f>
        <v>0</v>
      </c>
      <c r="AE65" s="35">
        <f t="shared" si="2"/>
        <v>0</v>
      </c>
      <c r="AF65" s="37">
        <f t="shared" si="3"/>
        <v>0</v>
      </c>
      <c r="AG65" s="37">
        <f t="shared" si="4"/>
        <v>0</v>
      </c>
      <c r="AH65" s="39" t="str">
        <f>IF(AD65=0,"",IF(AD65=1,2,0))</f>
        <v/>
      </c>
    </row>
    <row r="66" spans="1:34" ht="21.6" customHeight="1" x14ac:dyDescent="0.25">
      <c r="A66" s="5" t="s">
        <v>34</v>
      </c>
      <c r="B66" s="2"/>
      <c r="C66" s="2"/>
      <c r="D66" s="27"/>
      <c r="AA66" s="34" t="b">
        <v>0</v>
      </c>
      <c r="AB66" s="34" t="b">
        <v>0</v>
      </c>
      <c r="AC66" s="35">
        <f t="shared" si="0"/>
        <v>0</v>
      </c>
      <c r="AD66" s="35">
        <f t="shared" ref="AD66:AD69" si="42">IF(AB66="","",IF(AB66=TRUE,0.5,0))</f>
        <v>0</v>
      </c>
      <c r="AE66" s="35">
        <f t="shared" si="2"/>
        <v>0</v>
      </c>
      <c r="AF66" s="37">
        <f t="shared" si="3"/>
        <v>0</v>
      </c>
      <c r="AG66" s="37">
        <f t="shared" si="4"/>
        <v>0</v>
      </c>
      <c r="AH66" s="39" t="str">
        <f t="shared" ref="AH66:AH69" si="43">IF(AD66=0,"",IF(AD66=1,2,0))</f>
        <v/>
      </c>
    </row>
    <row r="67" spans="1:34" ht="21.6" customHeight="1" x14ac:dyDescent="0.25">
      <c r="A67" s="5" t="s">
        <v>35</v>
      </c>
      <c r="B67" s="2"/>
      <c r="C67" s="2"/>
      <c r="D67" s="27"/>
      <c r="AA67" s="34" t="b">
        <v>0</v>
      </c>
      <c r="AB67" s="34" t="b">
        <v>0</v>
      </c>
      <c r="AC67" s="35">
        <f t="shared" si="0"/>
        <v>0</v>
      </c>
      <c r="AD67" s="35">
        <f t="shared" si="42"/>
        <v>0</v>
      </c>
      <c r="AE67" s="35">
        <f t="shared" si="2"/>
        <v>0</v>
      </c>
      <c r="AF67" s="37">
        <f t="shared" si="3"/>
        <v>0</v>
      </c>
      <c r="AG67" s="37">
        <f t="shared" si="4"/>
        <v>0</v>
      </c>
      <c r="AH67" s="39" t="str">
        <f t="shared" si="43"/>
        <v/>
      </c>
    </row>
    <row r="68" spans="1:34" ht="21.6" customHeight="1" x14ac:dyDescent="0.25">
      <c r="A68" s="5" t="s">
        <v>36</v>
      </c>
      <c r="B68" s="2"/>
      <c r="C68" s="2"/>
      <c r="D68" s="27"/>
      <c r="AA68" s="34" t="b">
        <v>0</v>
      </c>
      <c r="AB68" s="34" t="b">
        <v>0</v>
      </c>
      <c r="AC68" s="35">
        <f t="shared" si="0"/>
        <v>0</v>
      </c>
      <c r="AD68" s="35">
        <f t="shared" si="42"/>
        <v>0</v>
      </c>
      <c r="AE68" s="35">
        <f t="shared" si="2"/>
        <v>0</v>
      </c>
      <c r="AF68" s="37">
        <f t="shared" si="3"/>
        <v>0</v>
      </c>
      <c r="AG68" s="37">
        <f t="shared" si="4"/>
        <v>0</v>
      </c>
      <c r="AH68" s="39" t="str">
        <f t="shared" si="43"/>
        <v/>
      </c>
    </row>
    <row r="69" spans="1:34" ht="21.6" customHeight="1" thickBot="1" x14ac:dyDescent="0.3">
      <c r="A69" s="6" t="s">
        <v>37</v>
      </c>
      <c r="B69" s="7"/>
      <c r="C69" s="7"/>
      <c r="D69" s="28"/>
      <c r="AA69" s="34" t="b">
        <v>0</v>
      </c>
      <c r="AB69" s="34" t="b">
        <v>0</v>
      </c>
      <c r="AC69" s="35">
        <f t="shared" si="0"/>
        <v>0</v>
      </c>
      <c r="AD69" s="35">
        <f t="shared" si="42"/>
        <v>0</v>
      </c>
      <c r="AE69" s="35">
        <f t="shared" si="2"/>
        <v>0</v>
      </c>
      <c r="AF69" s="37">
        <f t="shared" si="3"/>
        <v>0</v>
      </c>
      <c r="AG69" s="37">
        <f t="shared" si="4"/>
        <v>0</v>
      </c>
      <c r="AH69" s="39" t="str">
        <f t="shared" si="43"/>
        <v/>
      </c>
    </row>
    <row r="70" spans="1:34" ht="21.6" customHeight="1" thickBot="1" x14ac:dyDescent="0.3">
      <c r="A70" s="15" t="s">
        <v>49</v>
      </c>
      <c r="B70" s="18">
        <f>AF70</f>
        <v>0</v>
      </c>
      <c r="C70" s="18">
        <f>AG70</f>
        <v>0</v>
      </c>
      <c r="AC70" s="35" t="str">
        <f t="shared" si="0"/>
        <v/>
      </c>
      <c r="AD70" s="35" t="str">
        <f t="shared" si="0"/>
        <v/>
      </c>
      <c r="AF70" s="38">
        <f>SUM(AF65:AF69)</f>
        <v>0</v>
      </c>
      <c r="AG70" s="38">
        <f>SUM(AG65:AG69)</f>
        <v>0</v>
      </c>
    </row>
    <row r="71" spans="1:34" ht="21.6" customHeight="1" thickBot="1" x14ac:dyDescent="0.3">
      <c r="A71" s="10" t="s">
        <v>0</v>
      </c>
      <c r="B71" s="11" t="s">
        <v>1</v>
      </c>
      <c r="C71" s="14" t="s">
        <v>2</v>
      </c>
      <c r="D71" s="12" t="s">
        <v>3</v>
      </c>
      <c r="AC71" s="35" t="str">
        <f t="shared" si="0"/>
        <v/>
      </c>
      <c r="AD71" s="35" t="str">
        <f t="shared" si="0"/>
        <v/>
      </c>
      <c r="AF71" s="37"/>
      <c r="AG71" s="37"/>
    </row>
    <row r="72" spans="1:34" ht="21.6" customHeight="1" x14ac:dyDescent="0.25">
      <c r="A72" s="13" t="s">
        <v>38</v>
      </c>
      <c r="B72" s="2"/>
      <c r="C72" s="2"/>
      <c r="D72" s="26"/>
      <c r="AA72" s="34" t="b">
        <v>0</v>
      </c>
      <c r="AB72" s="34" t="b">
        <v>0</v>
      </c>
      <c r="AC72" s="35">
        <f t="shared" si="0"/>
        <v>0</v>
      </c>
      <c r="AD72" s="35">
        <f>IF(AB72="","",IF(AB72=TRUE,0.5,0))</f>
        <v>0</v>
      </c>
      <c r="AE72" s="35">
        <f t="shared" si="2"/>
        <v>0</v>
      </c>
      <c r="AF72" s="37">
        <f t="shared" si="3"/>
        <v>0</v>
      </c>
      <c r="AG72" s="37">
        <f t="shared" si="4"/>
        <v>0</v>
      </c>
      <c r="AH72" s="39" t="str">
        <f>IF(AD72=0,"",IF(AD72=1,2,0))</f>
        <v/>
      </c>
    </row>
    <row r="73" spans="1:34" ht="21.6" customHeight="1" x14ac:dyDescent="0.25">
      <c r="A73" s="5" t="s">
        <v>39</v>
      </c>
      <c r="B73" s="2"/>
      <c r="C73" s="2"/>
      <c r="D73" s="27"/>
      <c r="AA73" s="34" t="b">
        <v>0</v>
      </c>
      <c r="AB73" s="34" t="b">
        <v>0</v>
      </c>
      <c r="AC73" s="35">
        <f t="shared" si="0"/>
        <v>0</v>
      </c>
      <c r="AD73" s="35">
        <f t="shared" ref="AD73:AD76" si="44">IF(AB73="","",IF(AB73=TRUE,0.5,0))</f>
        <v>0</v>
      </c>
      <c r="AE73" s="35">
        <f t="shared" si="2"/>
        <v>0</v>
      </c>
      <c r="AF73" s="37">
        <f t="shared" si="3"/>
        <v>0</v>
      </c>
      <c r="AG73" s="37">
        <f t="shared" si="4"/>
        <v>0</v>
      </c>
      <c r="AH73" s="39" t="str">
        <f t="shared" ref="AH73:AH76" si="45">IF(AD73=0,"",IF(AD73=1,2,0))</f>
        <v/>
      </c>
    </row>
    <row r="74" spans="1:34" ht="21.6" customHeight="1" x14ac:dyDescent="0.25">
      <c r="A74" s="5" t="s">
        <v>40</v>
      </c>
      <c r="B74" s="2"/>
      <c r="C74" s="2"/>
      <c r="D74" s="27"/>
      <c r="AA74" s="34" t="b">
        <v>0</v>
      </c>
      <c r="AB74" s="34" t="b">
        <v>0</v>
      </c>
      <c r="AC74" s="35">
        <f t="shared" si="0"/>
        <v>0</v>
      </c>
      <c r="AD74" s="35">
        <f t="shared" si="44"/>
        <v>0</v>
      </c>
      <c r="AE74" s="35">
        <f t="shared" si="2"/>
        <v>0</v>
      </c>
      <c r="AF74" s="37">
        <f t="shared" si="3"/>
        <v>0</v>
      </c>
      <c r="AG74" s="37">
        <f t="shared" si="4"/>
        <v>0</v>
      </c>
      <c r="AH74" s="39" t="str">
        <f t="shared" si="45"/>
        <v/>
      </c>
    </row>
    <row r="75" spans="1:34" ht="21.6" customHeight="1" x14ac:dyDescent="0.25">
      <c r="A75" s="32" t="s">
        <v>41</v>
      </c>
      <c r="B75" s="2"/>
      <c r="C75" s="2"/>
      <c r="D75" s="30"/>
      <c r="AA75" s="34" t="b">
        <v>0</v>
      </c>
      <c r="AB75" s="34" t="b">
        <v>0</v>
      </c>
      <c r="AC75" s="35">
        <f t="shared" ref="AC75" si="46">IF(AA75="","",IF(AA75=TRUE,1,0))</f>
        <v>0</v>
      </c>
      <c r="AD75" s="35">
        <f t="shared" si="44"/>
        <v>0</v>
      </c>
      <c r="AE75" s="35">
        <f t="shared" ref="AE75" si="47">SUM(AC75:AD75)</f>
        <v>0</v>
      </c>
      <c r="AF75" s="37">
        <f t="shared" ref="AF75" si="48">IF(AE75=1,AC75,0)</f>
        <v>0</v>
      </c>
      <c r="AG75" s="37">
        <f t="shared" ref="AG75" si="49">IF(AE75=1,AD75,0)</f>
        <v>0</v>
      </c>
      <c r="AH75" s="39" t="str">
        <f t="shared" si="45"/>
        <v/>
      </c>
    </row>
    <row r="76" spans="1:34" ht="21.6" customHeight="1" thickBot="1" x14ac:dyDescent="0.3">
      <c r="A76" s="31"/>
      <c r="B76" s="7"/>
      <c r="C76" s="7"/>
      <c r="D76" s="28"/>
      <c r="AA76" s="34" t="b">
        <v>0</v>
      </c>
      <c r="AB76" s="34" t="b">
        <v>0</v>
      </c>
      <c r="AC76" s="35">
        <f t="shared" si="0"/>
        <v>0</v>
      </c>
      <c r="AD76" s="35">
        <f t="shared" si="44"/>
        <v>0</v>
      </c>
      <c r="AE76" s="35">
        <f t="shared" si="2"/>
        <v>0</v>
      </c>
      <c r="AF76" s="37">
        <f t="shared" si="3"/>
        <v>0</v>
      </c>
      <c r="AG76" s="37">
        <f t="shared" si="4"/>
        <v>0</v>
      </c>
      <c r="AH76" s="39" t="str">
        <f t="shared" si="45"/>
        <v/>
      </c>
    </row>
    <row r="77" spans="1:34" ht="21.6" customHeight="1" x14ac:dyDescent="0.25">
      <c r="A77" s="15" t="s">
        <v>50</v>
      </c>
      <c r="B77" s="18">
        <f>AF77</f>
        <v>0</v>
      </c>
      <c r="C77" s="18">
        <f>AG77</f>
        <v>0</v>
      </c>
      <c r="AF77" s="38">
        <f>SUM(AF71:AF76)</f>
        <v>0</v>
      </c>
      <c r="AG77" s="38">
        <f>SUM(AG71:AG76)</f>
        <v>0</v>
      </c>
    </row>
    <row r="78" spans="1:34" ht="16.05" customHeight="1" x14ac:dyDescent="0.25">
      <c r="A78" s="1" t="s">
        <v>42</v>
      </c>
    </row>
    <row r="79" spans="1:34" ht="41.55" customHeight="1" x14ac:dyDescent="0.25">
      <c r="A79" s="84"/>
      <c r="B79" s="85"/>
      <c r="C79" s="85"/>
      <c r="D79" s="86"/>
      <c r="AF79" s="38">
        <f>SUM(AF21,AF28,AF35,AF42,AF49,AF56,AF63,AF70,AF77)</f>
        <v>0</v>
      </c>
      <c r="AG79" s="38">
        <f>SUM(AG21,AG28,AG35,AG42,AG49,AG56,AG63,AG70,AG77)</f>
        <v>0</v>
      </c>
    </row>
    <row r="80" spans="1:34" ht="21.6" customHeight="1" x14ac:dyDescent="0.25">
      <c r="A80" t="s">
        <v>43</v>
      </c>
    </row>
    <row r="81" spans="1:4" ht="41.55" customHeight="1" x14ac:dyDescent="0.25">
      <c r="A81" s="84"/>
      <c r="B81" s="85"/>
      <c r="C81" s="85"/>
      <c r="D81" s="86"/>
    </row>
    <row r="82" spans="1:4" ht="21.6" customHeight="1" x14ac:dyDescent="0.25">
      <c r="A82" t="s">
        <v>44</v>
      </c>
    </row>
    <row r="83" spans="1:4" ht="41.55" customHeight="1" x14ac:dyDescent="0.25">
      <c r="A83" s="84"/>
      <c r="B83" s="85"/>
      <c r="C83" s="85"/>
      <c r="D83" s="86"/>
    </row>
    <row r="85" spans="1:4" x14ac:dyDescent="0.25">
      <c r="A85" s="19" t="s">
        <v>62</v>
      </c>
      <c r="B85" s="19" t="s">
        <v>64</v>
      </c>
    </row>
    <row r="87" spans="1:4" ht="13.8" x14ac:dyDescent="0.25">
      <c r="A87" s="20" t="s">
        <v>66</v>
      </c>
      <c r="B87" s="21"/>
      <c r="C87" s="74" t="s">
        <v>68</v>
      </c>
      <c r="D87" s="74"/>
    </row>
    <row r="88" spans="1:4" x14ac:dyDescent="0.25">
      <c r="A88" s="22" t="s">
        <v>65</v>
      </c>
      <c r="C88" s="75" t="s">
        <v>69</v>
      </c>
      <c r="D88" s="75"/>
    </row>
    <row r="91" spans="1:4" ht="13.8" x14ac:dyDescent="0.25">
      <c r="C91" s="74" t="s">
        <v>63</v>
      </c>
      <c r="D91" s="74"/>
    </row>
    <row r="92" spans="1:4" x14ac:dyDescent="0.25">
      <c r="C92" s="75" t="s">
        <v>67</v>
      </c>
      <c r="D92" s="75"/>
    </row>
  </sheetData>
  <sheetProtection formatCells="0" formatColumns="0" formatRows="0"/>
  <mergeCells count="15">
    <mergeCell ref="C91:D91"/>
    <mergeCell ref="C92:D92"/>
    <mergeCell ref="C88:D88"/>
    <mergeCell ref="A5:D5"/>
    <mergeCell ref="A6:D6"/>
    <mergeCell ref="A7:D7"/>
    <mergeCell ref="A8:D8"/>
    <mergeCell ref="C87:D87"/>
    <mergeCell ref="A81:D81"/>
    <mergeCell ref="A83:D83"/>
    <mergeCell ref="A10:D10"/>
    <mergeCell ref="B11:D11"/>
    <mergeCell ref="B12:D12"/>
    <mergeCell ref="B13:D13"/>
    <mergeCell ref="A79:D79"/>
  </mergeCells>
  <conditionalFormatting sqref="B16:C16">
    <cfRule type="expression" dxfId="269" priority="54">
      <formula>$AE$16&gt;1</formula>
    </cfRule>
  </conditionalFormatting>
  <conditionalFormatting sqref="B17:C17">
    <cfRule type="expression" dxfId="268" priority="53">
      <formula>$AE$17&gt;1</formula>
    </cfRule>
  </conditionalFormatting>
  <conditionalFormatting sqref="B18:C18">
    <cfRule type="expression" dxfId="267" priority="7">
      <formula>$AE$18&gt;1</formula>
    </cfRule>
  </conditionalFormatting>
  <conditionalFormatting sqref="B19:C19">
    <cfRule type="expression" dxfId="266" priority="51">
      <formula>$AE$19&gt;1</formula>
    </cfRule>
  </conditionalFormatting>
  <conditionalFormatting sqref="B20:C20">
    <cfRule type="expression" dxfId="265" priority="52">
      <formula>$AE$20&gt;1</formula>
    </cfRule>
  </conditionalFormatting>
  <conditionalFormatting sqref="B23:C23">
    <cfRule type="expression" dxfId="264" priority="50">
      <formula>$AE$23&gt;1</formula>
    </cfRule>
  </conditionalFormatting>
  <conditionalFormatting sqref="B24:C24">
    <cfRule type="expression" dxfId="263" priority="49">
      <formula>$AE$24&gt;1</formula>
    </cfRule>
  </conditionalFormatting>
  <conditionalFormatting sqref="B25:C25">
    <cfRule type="expression" dxfId="262" priority="6">
      <formula>$AE$25&gt;1</formula>
    </cfRule>
  </conditionalFormatting>
  <conditionalFormatting sqref="B26:C26">
    <cfRule type="expression" dxfId="261" priority="48">
      <formula>$AE$26&gt;1</formula>
    </cfRule>
  </conditionalFormatting>
  <conditionalFormatting sqref="B27:C27">
    <cfRule type="expression" dxfId="260" priority="47">
      <formula>$AE$27&gt;1</formula>
    </cfRule>
  </conditionalFormatting>
  <conditionalFormatting sqref="B30:C30">
    <cfRule type="expression" dxfId="259" priority="46">
      <formula>$AE$30&gt;1</formula>
    </cfRule>
  </conditionalFormatting>
  <conditionalFormatting sqref="B31:C31">
    <cfRule type="expression" dxfId="258" priority="45">
      <formula>$AE$31&gt;1</formula>
    </cfRule>
  </conditionalFormatting>
  <conditionalFormatting sqref="B32:C32">
    <cfRule type="expression" dxfId="257" priority="44">
      <formula>$AE$32&gt;1</formula>
    </cfRule>
  </conditionalFormatting>
  <conditionalFormatting sqref="B33:C33">
    <cfRule type="expression" dxfId="256" priority="5">
      <formula>$AE$33&gt;1</formula>
    </cfRule>
  </conditionalFormatting>
  <conditionalFormatting sqref="B34:C34">
    <cfRule type="expression" dxfId="255" priority="43">
      <formula>$AE$34&gt;1</formula>
    </cfRule>
  </conditionalFormatting>
  <conditionalFormatting sqref="B37:C37">
    <cfRule type="expression" dxfId="254" priority="42">
      <formula>$AE$37&gt;1</formula>
    </cfRule>
  </conditionalFormatting>
  <conditionalFormatting sqref="B38:C38">
    <cfRule type="expression" dxfId="253" priority="41">
      <formula>$AE$38&gt;1</formula>
    </cfRule>
  </conditionalFormatting>
  <conditionalFormatting sqref="B39:C39">
    <cfRule type="expression" dxfId="252" priority="4">
      <formula>$AE$39&gt;1</formula>
    </cfRule>
  </conditionalFormatting>
  <conditionalFormatting sqref="B40:C40">
    <cfRule type="expression" dxfId="251" priority="40">
      <formula>$AE$40&gt;1</formula>
    </cfRule>
  </conditionalFormatting>
  <conditionalFormatting sqref="B41:C41">
    <cfRule type="expression" dxfId="250" priority="39">
      <formula>$AE$41&gt;1</formula>
    </cfRule>
  </conditionalFormatting>
  <conditionalFormatting sqref="B44:C44">
    <cfRule type="expression" dxfId="249" priority="38">
      <formula>$AE$44&gt;1</formula>
    </cfRule>
  </conditionalFormatting>
  <conditionalFormatting sqref="B45:C45">
    <cfRule type="expression" dxfId="248" priority="37">
      <formula>$AE$45&gt;1</formula>
    </cfRule>
  </conditionalFormatting>
  <conditionalFormatting sqref="B46:C46">
    <cfRule type="expression" dxfId="247" priority="36">
      <formula>$AE$46&gt;1</formula>
    </cfRule>
  </conditionalFormatting>
  <conditionalFormatting sqref="B47:C47">
    <cfRule type="expression" dxfId="246" priority="3">
      <formula>$AE$47&gt;1</formula>
    </cfRule>
  </conditionalFormatting>
  <conditionalFormatting sqref="B48:C48">
    <cfRule type="expression" dxfId="245" priority="35">
      <formula>$AE$48&gt;1</formula>
    </cfRule>
  </conditionalFormatting>
  <conditionalFormatting sqref="B51:C51">
    <cfRule type="expression" dxfId="244" priority="34">
      <formula>$AE$51&gt;1</formula>
    </cfRule>
  </conditionalFormatting>
  <conditionalFormatting sqref="B52:C52">
    <cfRule type="expression" dxfId="243" priority="33">
      <formula>$AE$52&gt;1</formula>
    </cfRule>
  </conditionalFormatting>
  <conditionalFormatting sqref="B53:C53">
    <cfRule type="expression" dxfId="242" priority="32">
      <formula>$AE$53&gt;1</formula>
    </cfRule>
  </conditionalFormatting>
  <conditionalFormatting sqref="B54:C54">
    <cfRule type="expression" dxfId="241" priority="31">
      <formula>$AE$54&gt;1</formula>
    </cfRule>
  </conditionalFormatting>
  <conditionalFormatting sqref="B55:C55">
    <cfRule type="expression" dxfId="240" priority="30">
      <formula>$AE$55&gt;1</formula>
    </cfRule>
  </conditionalFormatting>
  <conditionalFormatting sqref="B58:C58">
    <cfRule type="expression" dxfId="239" priority="11">
      <formula>$AE$58&gt;1</formula>
    </cfRule>
  </conditionalFormatting>
  <conditionalFormatting sqref="B59:C59">
    <cfRule type="expression" dxfId="238" priority="10">
      <formula>$AE$59&gt;1</formula>
    </cfRule>
  </conditionalFormatting>
  <conditionalFormatting sqref="B60:C60">
    <cfRule type="expression" dxfId="237" priority="9">
      <formula>$AE$60&gt;1</formula>
    </cfRule>
  </conditionalFormatting>
  <conditionalFormatting sqref="B61:C61">
    <cfRule type="expression" dxfId="236" priority="2">
      <formula>$AE$61&gt;1</formula>
    </cfRule>
  </conditionalFormatting>
  <conditionalFormatting sqref="B62:C62">
    <cfRule type="expression" dxfId="235" priority="8">
      <formula>$AE$62&gt;1</formula>
    </cfRule>
  </conditionalFormatting>
  <conditionalFormatting sqref="B65:C65">
    <cfRule type="expression" dxfId="234" priority="20">
      <formula>$AE$65&gt;1</formula>
    </cfRule>
  </conditionalFormatting>
  <conditionalFormatting sqref="B66:C66">
    <cfRule type="expression" dxfId="233" priority="19">
      <formula>$AE$66&gt;1</formula>
    </cfRule>
  </conditionalFormatting>
  <conditionalFormatting sqref="B67:C67">
    <cfRule type="expression" dxfId="232" priority="18">
      <formula>$AE$67&gt;1</formula>
    </cfRule>
  </conditionalFormatting>
  <conditionalFormatting sqref="B68:C68">
    <cfRule type="expression" dxfId="231" priority="17">
      <formula>$AE$68&gt;1</formula>
    </cfRule>
  </conditionalFormatting>
  <conditionalFormatting sqref="B69:C69">
    <cfRule type="expression" dxfId="230" priority="16">
      <formula>$AE$69&gt;1</formula>
    </cfRule>
  </conditionalFormatting>
  <conditionalFormatting sqref="B72:C72">
    <cfRule type="expression" dxfId="229" priority="15">
      <formula>$AE$72&gt;1</formula>
    </cfRule>
  </conditionalFormatting>
  <conditionalFormatting sqref="B73:C73">
    <cfRule type="expression" dxfId="228" priority="14">
      <formula>$AE$73&gt;1</formula>
    </cfRule>
  </conditionalFormatting>
  <conditionalFormatting sqref="B74:C74">
    <cfRule type="expression" dxfId="227" priority="13">
      <formula>$AE$74&gt;1</formula>
    </cfRule>
  </conditionalFormatting>
  <conditionalFormatting sqref="B75:C75">
    <cfRule type="expression" dxfId="226" priority="1">
      <formula>$AE$75&gt;1</formula>
    </cfRule>
  </conditionalFormatting>
  <conditionalFormatting sqref="B76:C76">
    <cfRule type="expression" dxfId="225" priority="12">
      <formula>$AE$76&gt;1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9" r:id="rId4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68580</xdr:rowOff>
                  </from>
                  <to>
                    <xdr:col>1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68580</xdr:rowOff>
                  </from>
                  <to>
                    <xdr:col>1</xdr:col>
                    <xdr:colOff>320040</xdr:colOff>
                    <xdr:row>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68580</xdr:rowOff>
                  </from>
                  <to>
                    <xdr:col>1</xdr:col>
                    <xdr:colOff>297180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68580</xdr:rowOff>
                  </from>
                  <to>
                    <xdr:col>1</xdr:col>
                    <xdr:colOff>297180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8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68580</xdr:rowOff>
                  </from>
                  <to>
                    <xdr:col>1</xdr:col>
                    <xdr:colOff>281940</xdr:colOff>
                    <xdr:row>23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9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68580</xdr:rowOff>
                  </from>
                  <to>
                    <xdr:col>1</xdr:col>
                    <xdr:colOff>327660</xdr:colOff>
                    <xdr:row>24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0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68580</xdr:rowOff>
                  </from>
                  <to>
                    <xdr:col>1</xdr:col>
                    <xdr:colOff>297180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68580</xdr:rowOff>
                  </from>
                  <to>
                    <xdr:col>1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2" name="Check Box 35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68580</xdr:rowOff>
                  </from>
                  <to>
                    <xdr:col>1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3" name="Check Box 37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68580</xdr:rowOff>
                  </from>
                  <to>
                    <xdr:col>1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4" name="Check Box 39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68580</xdr:rowOff>
                  </from>
                  <to>
                    <xdr:col>1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5" name="Check Box 41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68580</xdr:rowOff>
                  </from>
                  <to>
                    <xdr:col>1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6" name="Check Box 4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68580</xdr:rowOff>
                  </from>
                  <to>
                    <xdr:col>1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7" name="Check Box 45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68580</xdr:rowOff>
                  </from>
                  <to>
                    <xdr:col>1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8" name="Check Box 47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68580</xdr:rowOff>
                  </from>
                  <to>
                    <xdr:col>1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9" name="Check Box 49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68580</xdr:rowOff>
                  </from>
                  <to>
                    <xdr:col>1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0" name="Check Box 51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68580</xdr:rowOff>
                  </from>
                  <to>
                    <xdr:col>1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1" name="Check Box 53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68580</xdr:rowOff>
                  </from>
                  <to>
                    <xdr:col>1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2" name="Check Box 55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68580</xdr:rowOff>
                  </from>
                  <to>
                    <xdr:col>1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3" name="Check Box 57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68580</xdr:rowOff>
                  </from>
                  <to>
                    <xdr:col>1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4" name="Check Box 59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68580</xdr:rowOff>
                  </from>
                  <to>
                    <xdr:col>1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5" name="Check Box 61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68580</xdr:rowOff>
                  </from>
                  <to>
                    <xdr:col>1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6" name="Check Box 6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68580</xdr:rowOff>
                  </from>
                  <to>
                    <xdr:col>1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7" name="Check Box 65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68580</xdr:rowOff>
                  </from>
                  <to>
                    <xdr:col>1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8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68580</xdr:rowOff>
                  </from>
                  <to>
                    <xdr:col>1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9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68580</xdr:rowOff>
                  </from>
                  <to>
                    <xdr:col>1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0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68580</xdr:rowOff>
                  </from>
                  <to>
                    <xdr:col>1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1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68580</xdr:rowOff>
                  </from>
                  <to>
                    <xdr:col>1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32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68580</xdr:rowOff>
                  </from>
                  <to>
                    <xdr:col>1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3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68580</xdr:rowOff>
                  </from>
                  <to>
                    <xdr:col>1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4" name="Check Box 80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68580</xdr:rowOff>
                  </from>
                  <to>
                    <xdr:col>1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68580</xdr:rowOff>
                  </from>
                  <to>
                    <xdr:col>1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6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68580</xdr:rowOff>
                  </from>
                  <to>
                    <xdr:col>1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37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68580</xdr:rowOff>
                  </from>
                  <to>
                    <xdr:col>1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38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68580</xdr:rowOff>
                  </from>
                  <to>
                    <xdr:col>1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39" name="Check Box 91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68580</xdr:rowOff>
                  </from>
                  <to>
                    <xdr:col>1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40" name="Check Box 94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68580</xdr:rowOff>
                  </from>
                  <to>
                    <xdr:col>1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41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68580</xdr:rowOff>
                  </from>
                  <to>
                    <xdr:col>2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42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68580</xdr:rowOff>
                  </from>
                  <to>
                    <xdr:col>2</xdr:col>
                    <xdr:colOff>327660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43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68580</xdr:rowOff>
                  </from>
                  <to>
                    <xdr:col>2</xdr:col>
                    <xdr:colOff>327660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44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68580</xdr:rowOff>
                  </from>
                  <to>
                    <xdr:col>2</xdr:col>
                    <xdr:colOff>327660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45" name="Check Box 10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68580</xdr:rowOff>
                  </from>
                  <to>
                    <xdr:col>2</xdr:col>
                    <xdr:colOff>327660</xdr:colOff>
                    <xdr:row>23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46" name="Check Box 102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68580</xdr:rowOff>
                  </from>
                  <to>
                    <xdr:col>2</xdr:col>
                    <xdr:colOff>327660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47" name="Check Box 10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68580</xdr:rowOff>
                  </from>
                  <to>
                    <xdr:col>2</xdr:col>
                    <xdr:colOff>327660</xdr:colOff>
                    <xdr:row>26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48" name="Check Box 104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68580</xdr:rowOff>
                  </from>
                  <to>
                    <xdr:col>2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49" name="Check Box 105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68580</xdr:rowOff>
                  </from>
                  <to>
                    <xdr:col>2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50" name="Check Box 10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68580</xdr:rowOff>
                  </from>
                  <to>
                    <xdr:col>2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51" name="Check Box 107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68580</xdr:rowOff>
                  </from>
                  <to>
                    <xdr:col>2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52" name="Check Box 10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68580</xdr:rowOff>
                  </from>
                  <to>
                    <xdr:col>2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53" name="Check Box 109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68580</xdr:rowOff>
                  </from>
                  <to>
                    <xdr:col>2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4" name="Check Box 110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68580</xdr:rowOff>
                  </from>
                  <to>
                    <xdr:col>2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5" name="Check Box 111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68580</xdr:rowOff>
                  </from>
                  <to>
                    <xdr:col>2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6" name="Check Box 11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68580</xdr:rowOff>
                  </from>
                  <to>
                    <xdr:col>2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57" name="Check Box 113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68580</xdr:rowOff>
                  </from>
                  <to>
                    <xdr:col>2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58" name="Check Box 114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68580</xdr:rowOff>
                  </from>
                  <to>
                    <xdr:col>2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59" name="Check Box 115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68580</xdr:rowOff>
                  </from>
                  <to>
                    <xdr:col>2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60" name="Check Box 116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68580</xdr:rowOff>
                  </from>
                  <to>
                    <xdr:col>2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61" name="Check Box 117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68580</xdr:rowOff>
                  </from>
                  <to>
                    <xdr:col>2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62" name="Check Box 118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68580</xdr:rowOff>
                  </from>
                  <to>
                    <xdr:col>2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63" name="Check Box 119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68580</xdr:rowOff>
                  </from>
                  <to>
                    <xdr:col>2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64" name="Check Box 120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68580</xdr:rowOff>
                  </from>
                  <to>
                    <xdr:col>2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5" name="Check Box 121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68580</xdr:rowOff>
                  </from>
                  <to>
                    <xdr:col>2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6" name="Check Box 122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68580</xdr:rowOff>
                  </from>
                  <to>
                    <xdr:col>2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7" name="Check Box 123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68580</xdr:rowOff>
                  </from>
                  <to>
                    <xdr:col>2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68" name="Check Box 124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68580</xdr:rowOff>
                  </from>
                  <to>
                    <xdr:col>2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9" name="Check Box 125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68580</xdr:rowOff>
                  </from>
                  <to>
                    <xdr:col>2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0" name="Check Box 126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68580</xdr:rowOff>
                  </from>
                  <to>
                    <xdr:col>2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71" name="Check Box 127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68580</xdr:rowOff>
                  </from>
                  <to>
                    <xdr:col>2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2" name="Check Box 128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68580</xdr:rowOff>
                  </from>
                  <to>
                    <xdr:col>2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3" name="Check Box 129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68580</xdr:rowOff>
                  </from>
                  <to>
                    <xdr:col>2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4" name="Check Box 130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68580</xdr:rowOff>
                  </from>
                  <to>
                    <xdr:col>2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5" name="Check Box 131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68580</xdr:rowOff>
                  </from>
                  <to>
                    <xdr:col>2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6" name="Check Box 132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68580</xdr:rowOff>
                  </from>
                  <to>
                    <xdr:col>2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7" name="Check Box 133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68580</xdr:rowOff>
                  </from>
                  <to>
                    <xdr:col>2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8" name="Check Box 134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68580</xdr:rowOff>
                  </from>
                  <to>
                    <xdr:col>1</xdr:col>
                    <xdr:colOff>304800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9" name="Check Box 13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68580</xdr:rowOff>
                  </from>
                  <to>
                    <xdr:col>2</xdr:col>
                    <xdr:colOff>327660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0" name="Check Box 136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68580</xdr:rowOff>
                  </from>
                  <to>
                    <xdr:col>1</xdr:col>
                    <xdr:colOff>320040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81" name="Check Box 13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68580</xdr:rowOff>
                  </from>
                  <to>
                    <xdr:col>2</xdr:col>
                    <xdr:colOff>327660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82" name="Check Box 138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68580</xdr:rowOff>
                  </from>
                  <to>
                    <xdr:col>1</xdr:col>
                    <xdr:colOff>327660</xdr:colOff>
                    <xdr:row>25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83" name="Check Box 13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68580</xdr:rowOff>
                  </from>
                  <to>
                    <xdr:col>2</xdr:col>
                    <xdr:colOff>327660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84" name="Check Box 140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68580</xdr:rowOff>
                  </from>
                  <to>
                    <xdr:col>1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5" name="Check Box 14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68580</xdr:rowOff>
                  </from>
                  <to>
                    <xdr:col>2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86" name="Check Box 142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68580</xdr:rowOff>
                  </from>
                  <to>
                    <xdr:col>1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87" name="Check Box 143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68580</xdr:rowOff>
                  </from>
                  <to>
                    <xdr:col>2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8" name="Check Box 144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68580</xdr:rowOff>
                  </from>
                  <to>
                    <xdr:col>1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89" name="Check Box 145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68580</xdr:rowOff>
                  </from>
                  <to>
                    <xdr:col>2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0" name="Check Box 146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68580</xdr:rowOff>
                  </from>
                  <to>
                    <xdr:col>1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91" name="Check Box 147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68580</xdr:rowOff>
                  </from>
                  <to>
                    <xdr:col>2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92" name="Check Box 148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68580</xdr:rowOff>
                  </from>
                  <to>
                    <xdr:col>1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3" name="Check Box 149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68580</xdr:rowOff>
                  </from>
                  <to>
                    <xdr:col>2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AE1B-1DF2-4E4B-B9E9-190D3D04604E}">
  <dimension ref="A5:AH92"/>
  <sheetViews>
    <sheetView showGridLines="0" topLeftCell="A67" workbookViewId="0">
      <selection activeCell="C60" sqref="C60"/>
    </sheetView>
  </sheetViews>
  <sheetFormatPr defaultColWidth="9.33203125" defaultRowHeight="13.2" x14ac:dyDescent="0.25"/>
  <cols>
    <col min="1" max="1" width="54.6640625" customWidth="1"/>
    <col min="2" max="3" width="6.77734375" customWidth="1"/>
    <col min="4" max="4" width="44.77734375" style="4" customWidth="1"/>
    <col min="6" max="25" width="9.33203125" customWidth="1"/>
    <col min="27" max="28" width="9.33203125" style="34"/>
    <col min="29" max="30" width="4.21875" style="35" customWidth="1"/>
    <col min="31" max="31" width="3.33203125" style="35" customWidth="1"/>
    <col min="32" max="33" width="9.33203125" style="35"/>
    <col min="34" max="34" width="9.33203125" style="36"/>
  </cols>
  <sheetData>
    <row r="5" spans="1:34" ht="13.05" customHeight="1" x14ac:dyDescent="0.25">
      <c r="A5" s="79" t="s">
        <v>59</v>
      </c>
      <c r="B5" s="79"/>
      <c r="C5" s="79"/>
      <c r="D5" s="79"/>
    </row>
    <row r="6" spans="1:34" ht="13.05" customHeight="1" x14ac:dyDescent="0.25">
      <c r="A6" s="80" t="s">
        <v>60</v>
      </c>
      <c r="B6" s="80"/>
      <c r="C6" s="80"/>
      <c r="D6" s="80"/>
    </row>
    <row r="7" spans="1:34" x14ac:dyDescent="0.25">
      <c r="A7" s="78"/>
      <c r="B7" s="78"/>
      <c r="C7" s="78"/>
      <c r="D7" s="78"/>
    </row>
    <row r="8" spans="1:34" ht="13.05" customHeight="1" thickBot="1" x14ac:dyDescent="0.3">
      <c r="A8" s="83" t="s">
        <v>61</v>
      </c>
      <c r="B8" s="83"/>
      <c r="C8" s="83"/>
      <c r="D8" s="83"/>
    </row>
    <row r="9" spans="1:34" ht="7.05" customHeight="1" thickTop="1" x14ac:dyDescent="0.25">
      <c r="A9" s="18"/>
      <c r="B9" s="18"/>
      <c r="C9" s="18"/>
      <c r="D9" s="18"/>
    </row>
    <row r="10" spans="1:34" ht="13.8" x14ac:dyDescent="0.25">
      <c r="A10" s="82" t="s">
        <v>45</v>
      </c>
      <c r="B10" s="82"/>
      <c r="C10" s="82"/>
      <c r="D10" s="82"/>
    </row>
    <row r="11" spans="1:34" x14ac:dyDescent="0.25">
      <c r="A11" s="3" t="s">
        <v>46</v>
      </c>
      <c r="B11" s="87" t="s">
        <v>83</v>
      </c>
      <c r="C11" s="88"/>
      <c r="D11" s="88"/>
    </row>
    <row r="12" spans="1:34" x14ac:dyDescent="0.25">
      <c r="A12" s="16" t="s">
        <v>55</v>
      </c>
      <c r="B12" s="88"/>
      <c r="C12" s="88"/>
      <c r="D12" s="88"/>
    </row>
    <row r="13" spans="1:34" x14ac:dyDescent="0.25">
      <c r="A13" s="16" t="s">
        <v>56</v>
      </c>
      <c r="B13" s="88"/>
      <c r="C13" s="88"/>
      <c r="D13" s="88"/>
    </row>
    <row r="14" spans="1:34" ht="22.5" customHeight="1" thickBot="1" x14ac:dyDescent="0.3">
      <c r="A14" s="15" t="s">
        <v>54</v>
      </c>
    </row>
    <row r="15" spans="1:34" ht="13.8" thickBot="1" x14ac:dyDescent="0.3">
      <c r="A15" s="10" t="s">
        <v>0</v>
      </c>
      <c r="B15" s="11" t="s">
        <v>1</v>
      </c>
      <c r="C15" s="11" t="s">
        <v>2</v>
      </c>
      <c r="D15" s="12" t="s">
        <v>3</v>
      </c>
    </row>
    <row r="16" spans="1:34" ht="25.05" customHeight="1" x14ac:dyDescent="0.25">
      <c r="A16" s="8" t="s">
        <v>4</v>
      </c>
      <c r="B16" s="9"/>
      <c r="C16" s="9"/>
      <c r="D16" s="23"/>
      <c r="AA16" s="34" t="b">
        <v>0</v>
      </c>
      <c r="AB16" s="34" t="b">
        <v>0</v>
      </c>
      <c r="AC16" s="35">
        <f>IF(AA16="","",IF(AA16=TRUE,1,0))</f>
        <v>0</v>
      </c>
      <c r="AD16" s="35">
        <f>IF(AB16="","",IF(AB16=TRUE,0.5,0))</f>
        <v>0</v>
      </c>
      <c r="AE16" s="40">
        <f>SUM(AC16:AD16)</f>
        <v>0</v>
      </c>
      <c r="AF16" s="37">
        <f>IF(AE16=1,AC16,0)</f>
        <v>0</v>
      </c>
      <c r="AG16" s="37">
        <f>IF(AE16=1,AD16,0)</f>
        <v>0</v>
      </c>
      <c r="AH16" s="36" t="str">
        <f>IF(AD16=0,"",IF(AD16=1,2,0))</f>
        <v/>
      </c>
    </row>
    <row r="17" spans="1:34" ht="25.05" customHeight="1" x14ac:dyDescent="0.25">
      <c r="A17" s="5" t="s">
        <v>5</v>
      </c>
      <c r="B17" s="2"/>
      <c r="C17" s="2"/>
      <c r="D17" s="24"/>
      <c r="AA17" s="34" t="b">
        <v>0</v>
      </c>
      <c r="AB17" s="34" t="b">
        <v>0</v>
      </c>
      <c r="AC17" s="35">
        <f t="shared" ref="AC17:AD76" si="0">IF(AA17="","",IF(AA17=TRUE,1,0))</f>
        <v>0</v>
      </c>
      <c r="AD17" s="35">
        <f t="shared" ref="AD17:AD20" si="1">IF(AB17="","",IF(AB17=TRUE,0.5,0))</f>
        <v>0</v>
      </c>
      <c r="AE17" s="35">
        <f t="shared" ref="AE17:AE76" si="2">SUM(AC17:AD17)</f>
        <v>0</v>
      </c>
      <c r="AF17" s="37">
        <f t="shared" ref="AF17:AF76" si="3">IF(AE17=1,AC17,0)</f>
        <v>0</v>
      </c>
      <c r="AG17" s="37">
        <f t="shared" ref="AG17:AG76" si="4">IF(AE17=1,AD17,0)</f>
        <v>0</v>
      </c>
      <c r="AH17" s="36" t="str">
        <f t="shared" ref="AH17:AH20" si="5">IF(AD17=0,"",IF(AD17=1,2,0))</f>
        <v/>
      </c>
    </row>
    <row r="18" spans="1:34" ht="25.05" customHeight="1" x14ac:dyDescent="0.25">
      <c r="A18" s="5" t="s">
        <v>6</v>
      </c>
      <c r="B18" s="2"/>
      <c r="C18" s="2"/>
      <c r="D18" s="24"/>
      <c r="AA18" s="34" t="b">
        <v>0</v>
      </c>
      <c r="AB18" s="34" t="b">
        <v>0</v>
      </c>
      <c r="AC18" s="35">
        <f t="shared" si="0"/>
        <v>0</v>
      </c>
      <c r="AD18" s="35">
        <f t="shared" si="1"/>
        <v>0</v>
      </c>
      <c r="AE18" s="35">
        <f t="shared" si="2"/>
        <v>0</v>
      </c>
      <c r="AF18" s="37">
        <f t="shared" si="3"/>
        <v>0</v>
      </c>
      <c r="AG18" s="37">
        <f t="shared" si="4"/>
        <v>0</v>
      </c>
      <c r="AH18" s="36" t="str">
        <f t="shared" si="5"/>
        <v/>
      </c>
    </row>
    <row r="19" spans="1:34" ht="25.05" customHeight="1" x14ac:dyDescent="0.25">
      <c r="A19" s="32" t="s">
        <v>7</v>
      </c>
      <c r="B19" s="2"/>
      <c r="C19" s="2"/>
      <c r="D19" s="29"/>
      <c r="AA19" s="34" t="b">
        <v>0</v>
      </c>
      <c r="AB19" s="34" t="b">
        <v>0</v>
      </c>
      <c r="AC19" s="35">
        <f t="shared" si="0"/>
        <v>0</v>
      </c>
      <c r="AD19" s="35">
        <f t="shared" si="1"/>
        <v>0</v>
      </c>
      <c r="AE19" s="35">
        <f t="shared" si="2"/>
        <v>0</v>
      </c>
      <c r="AF19" s="37">
        <f t="shared" si="3"/>
        <v>0</v>
      </c>
      <c r="AG19" s="37">
        <f t="shared" si="4"/>
        <v>0</v>
      </c>
      <c r="AH19" s="36" t="str">
        <f t="shared" si="5"/>
        <v/>
      </c>
    </row>
    <row r="20" spans="1:34" ht="25.05" customHeight="1" thickBot="1" x14ac:dyDescent="0.3">
      <c r="A20" s="31"/>
      <c r="B20" s="7"/>
      <c r="C20" s="7"/>
      <c r="D20" s="25"/>
      <c r="AA20" s="34" t="b">
        <v>0</v>
      </c>
      <c r="AB20" s="34" t="b">
        <v>0</v>
      </c>
      <c r="AC20" s="35">
        <f t="shared" si="0"/>
        <v>0</v>
      </c>
      <c r="AD20" s="35">
        <f t="shared" si="1"/>
        <v>0</v>
      </c>
      <c r="AE20" s="35">
        <f t="shared" si="2"/>
        <v>0</v>
      </c>
      <c r="AF20" s="37">
        <f t="shared" si="3"/>
        <v>0</v>
      </c>
      <c r="AG20" s="37">
        <f t="shared" si="4"/>
        <v>0</v>
      </c>
      <c r="AH20" s="36" t="str">
        <f t="shared" si="5"/>
        <v/>
      </c>
    </row>
    <row r="21" spans="1:34" ht="21.6" customHeight="1" thickBot="1" x14ac:dyDescent="0.3">
      <c r="A21" s="15" t="s">
        <v>53</v>
      </c>
      <c r="B21" s="18">
        <f>AF21</f>
        <v>0</v>
      </c>
      <c r="C21" s="18">
        <f>AG21</f>
        <v>0</v>
      </c>
      <c r="AC21" s="35" t="str">
        <f t="shared" si="0"/>
        <v/>
      </c>
      <c r="AD21" s="35" t="str">
        <f t="shared" si="0"/>
        <v/>
      </c>
      <c r="AF21" s="38">
        <f>SUM(AF16:AF20)</f>
        <v>0</v>
      </c>
      <c r="AG21" s="38">
        <f>SUM(AG16:AG20)</f>
        <v>0</v>
      </c>
    </row>
    <row r="22" spans="1:34" ht="21.6" customHeight="1" thickBot="1" x14ac:dyDescent="0.3">
      <c r="A22" s="10" t="s">
        <v>0</v>
      </c>
      <c r="B22" s="11" t="s">
        <v>1</v>
      </c>
      <c r="C22" s="14" t="s">
        <v>2</v>
      </c>
      <c r="D22" s="12" t="s">
        <v>3</v>
      </c>
      <c r="AC22" s="35" t="str">
        <f t="shared" si="0"/>
        <v/>
      </c>
      <c r="AD22" s="35" t="str">
        <f t="shared" si="0"/>
        <v/>
      </c>
      <c r="AF22" s="37"/>
      <c r="AG22" s="37"/>
    </row>
    <row r="23" spans="1:34" ht="21.6" customHeight="1" x14ac:dyDescent="0.25">
      <c r="A23" s="13" t="s">
        <v>8</v>
      </c>
      <c r="B23" s="2"/>
      <c r="C23" s="2"/>
      <c r="D23" s="26"/>
      <c r="AA23" s="34" t="b">
        <v>0</v>
      </c>
      <c r="AB23" s="34" t="b">
        <v>0</v>
      </c>
      <c r="AC23" s="35">
        <f t="shared" si="0"/>
        <v>0</v>
      </c>
      <c r="AD23" s="35">
        <f>IF(AB23="","",IF(AB23=TRUE,0.5,0))</f>
        <v>0</v>
      </c>
      <c r="AE23" s="35">
        <f t="shared" si="2"/>
        <v>0</v>
      </c>
      <c r="AF23" s="37">
        <f t="shared" si="3"/>
        <v>0</v>
      </c>
      <c r="AG23" s="37">
        <f t="shared" si="4"/>
        <v>0</v>
      </c>
      <c r="AH23" s="36" t="str">
        <f>IF(AD23=0,"",IF(AD23=1,2,0))</f>
        <v/>
      </c>
    </row>
    <row r="24" spans="1:34" ht="21.6" customHeight="1" x14ac:dyDescent="0.25">
      <c r="A24" s="5" t="s">
        <v>9</v>
      </c>
      <c r="B24" s="2"/>
      <c r="C24" s="2"/>
      <c r="D24" s="27"/>
      <c r="AA24" s="34" t="b">
        <v>0</v>
      </c>
      <c r="AB24" s="34" t="b">
        <v>0</v>
      </c>
      <c r="AC24" s="35">
        <f t="shared" si="0"/>
        <v>0</v>
      </c>
      <c r="AD24" s="35">
        <f t="shared" ref="AD24:AD27" si="6">IF(AB24="","",IF(AB24=TRUE,0.5,0))</f>
        <v>0</v>
      </c>
      <c r="AE24" s="35">
        <f t="shared" si="2"/>
        <v>0</v>
      </c>
      <c r="AF24" s="37">
        <f t="shared" si="3"/>
        <v>0</v>
      </c>
      <c r="AG24" s="37">
        <f t="shared" si="4"/>
        <v>0</v>
      </c>
      <c r="AH24" s="36" t="str">
        <f t="shared" ref="AH24:AH27" si="7">IF(AD24=0,"",IF(AD24=1,2,0))</f>
        <v/>
      </c>
    </row>
    <row r="25" spans="1:34" ht="21.6" customHeight="1" x14ac:dyDescent="0.25">
      <c r="A25" s="5" t="s">
        <v>10</v>
      </c>
      <c r="B25" s="2"/>
      <c r="C25" s="2"/>
      <c r="D25" s="27"/>
      <c r="AA25" s="34" t="b">
        <v>0</v>
      </c>
      <c r="AB25" s="34" t="b">
        <v>0</v>
      </c>
      <c r="AC25" s="35">
        <f t="shared" si="0"/>
        <v>0</v>
      </c>
      <c r="AD25" s="35">
        <f t="shared" si="6"/>
        <v>0</v>
      </c>
      <c r="AE25" s="35">
        <f t="shared" si="2"/>
        <v>0</v>
      </c>
      <c r="AF25" s="37">
        <f t="shared" si="3"/>
        <v>0</v>
      </c>
      <c r="AG25" s="37">
        <f t="shared" si="4"/>
        <v>0</v>
      </c>
      <c r="AH25" s="36" t="str">
        <f t="shared" si="7"/>
        <v/>
      </c>
    </row>
    <row r="26" spans="1:34" ht="21.6" customHeight="1" x14ac:dyDescent="0.25">
      <c r="A26" s="32" t="s">
        <v>11</v>
      </c>
      <c r="B26" s="2"/>
      <c r="C26" s="2"/>
      <c r="D26" s="30"/>
      <c r="AA26" s="34" t="b">
        <v>0</v>
      </c>
      <c r="AB26" s="34" t="b">
        <v>0</v>
      </c>
      <c r="AC26" s="35">
        <f t="shared" si="0"/>
        <v>0</v>
      </c>
      <c r="AD26" s="35">
        <f t="shared" si="6"/>
        <v>0</v>
      </c>
      <c r="AE26" s="35">
        <f t="shared" si="2"/>
        <v>0</v>
      </c>
      <c r="AF26" s="37">
        <f t="shared" si="3"/>
        <v>0</v>
      </c>
      <c r="AG26" s="37">
        <f t="shared" si="4"/>
        <v>0</v>
      </c>
      <c r="AH26" s="36" t="str">
        <f t="shared" si="7"/>
        <v/>
      </c>
    </row>
    <row r="27" spans="1:34" ht="21.6" customHeight="1" thickBot="1" x14ac:dyDescent="0.3">
      <c r="A27" s="31"/>
      <c r="B27" s="7"/>
      <c r="C27" s="7"/>
      <c r="D27" s="28"/>
      <c r="AA27" s="34" t="b">
        <v>0</v>
      </c>
      <c r="AB27" s="34" t="b">
        <v>0</v>
      </c>
      <c r="AC27" s="35">
        <f t="shared" si="0"/>
        <v>0</v>
      </c>
      <c r="AD27" s="35">
        <f t="shared" si="6"/>
        <v>0</v>
      </c>
      <c r="AE27" s="35">
        <f t="shared" si="2"/>
        <v>0</v>
      </c>
      <c r="AF27" s="37">
        <f t="shared" si="3"/>
        <v>0</v>
      </c>
      <c r="AG27" s="37">
        <f t="shared" si="4"/>
        <v>0</v>
      </c>
      <c r="AH27" s="36" t="str">
        <f t="shared" si="7"/>
        <v/>
      </c>
    </row>
    <row r="28" spans="1:34" ht="21.6" customHeight="1" thickBot="1" x14ac:dyDescent="0.3">
      <c r="A28" s="15" t="s">
        <v>52</v>
      </c>
      <c r="B28" s="18">
        <f>AF28</f>
        <v>0</v>
      </c>
      <c r="C28" s="18">
        <f>AG28</f>
        <v>0</v>
      </c>
      <c r="AC28" s="35" t="str">
        <f t="shared" si="0"/>
        <v/>
      </c>
      <c r="AD28" s="35" t="str">
        <f t="shared" si="0"/>
        <v/>
      </c>
      <c r="AF28" s="38">
        <f>SUM(AF23:AF27)</f>
        <v>0</v>
      </c>
      <c r="AG28" s="38">
        <f>SUM(AG23:AG27)</f>
        <v>0</v>
      </c>
    </row>
    <row r="29" spans="1:34" ht="21.6" customHeight="1" thickBot="1" x14ac:dyDescent="0.3">
      <c r="A29" s="10" t="s">
        <v>0</v>
      </c>
      <c r="B29" s="11" t="s">
        <v>1</v>
      </c>
      <c r="C29" s="14" t="s">
        <v>2</v>
      </c>
      <c r="D29" s="12" t="s">
        <v>3</v>
      </c>
      <c r="AC29" s="35" t="str">
        <f t="shared" si="0"/>
        <v/>
      </c>
      <c r="AD29" s="35" t="str">
        <f t="shared" si="0"/>
        <v/>
      </c>
      <c r="AF29" s="37"/>
      <c r="AG29" s="37"/>
    </row>
    <row r="30" spans="1:34" ht="21.6" customHeight="1" x14ac:dyDescent="0.25">
      <c r="A30" s="13" t="s">
        <v>12</v>
      </c>
      <c r="B30" s="2"/>
      <c r="C30" s="2"/>
      <c r="D30" s="26"/>
      <c r="AA30" s="34" t="b">
        <v>0</v>
      </c>
      <c r="AB30" s="34" t="b">
        <v>0</v>
      </c>
      <c r="AC30" s="35">
        <f t="shared" si="0"/>
        <v>0</v>
      </c>
      <c r="AD30" s="35">
        <f>IF(AB30="","",IF(AB30=TRUE,0.5,0))</f>
        <v>0</v>
      </c>
      <c r="AE30" s="35">
        <f t="shared" si="2"/>
        <v>0</v>
      </c>
      <c r="AF30" s="37">
        <f t="shared" si="3"/>
        <v>0</v>
      </c>
      <c r="AG30" s="37">
        <f t="shared" si="4"/>
        <v>0</v>
      </c>
      <c r="AH30" s="36" t="str">
        <f>IF(AD30=0,"",IF(AD30=1,2,0))</f>
        <v/>
      </c>
    </row>
    <row r="31" spans="1:34" ht="21.6" customHeight="1" x14ac:dyDescent="0.25">
      <c r="A31" s="5" t="s">
        <v>13</v>
      </c>
      <c r="B31" s="2"/>
      <c r="C31" s="2"/>
      <c r="D31" s="27"/>
      <c r="AA31" s="34" t="b">
        <v>0</v>
      </c>
      <c r="AB31" s="34" t="b">
        <v>0</v>
      </c>
      <c r="AC31" s="35">
        <f t="shared" si="0"/>
        <v>0</v>
      </c>
      <c r="AD31" s="35">
        <f t="shared" ref="AD31:AD34" si="8">IF(AB31="","",IF(AB31=TRUE,0.5,0))</f>
        <v>0</v>
      </c>
      <c r="AE31" s="35">
        <f t="shared" si="2"/>
        <v>0</v>
      </c>
      <c r="AF31" s="37">
        <f t="shared" si="3"/>
        <v>0</v>
      </c>
      <c r="AG31" s="37">
        <f t="shared" si="4"/>
        <v>0</v>
      </c>
      <c r="AH31" s="36" t="str">
        <f t="shared" ref="AH31:AH34" si="9">IF(AD31=0,"",IF(AD31=1,2,0))</f>
        <v/>
      </c>
    </row>
    <row r="32" spans="1:34" ht="21.6" customHeight="1" x14ac:dyDescent="0.25">
      <c r="A32" s="5" t="s">
        <v>14</v>
      </c>
      <c r="B32" s="2"/>
      <c r="C32" s="2"/>
      <c r="D32" s="27"/>
      <c r="AA32" s="34" t="b">
        <v>0</v>
      </c>
      <c r="AB32" s="34" t="b">
        <v>0</v>
      </c>
      <c r="AC32" s="35">
        <f t="shared" si="0"/>
        <v>0</v>
      </c>
      <c r="AD32" s="35">
        <f t="shared" si="8"/>
        <v>0</v>
      </c>
      <c r="AE32" s="35">
        <f t="shared" si="2"/>
        <v>0</v>
      </c>
      <c r="AF32" s="37">
        <f t="shared" si="3"/>
        <v>0</v>
      </c>
      <c r="AG32" s="37">
        <f t="shared" si="4"/>
        <v>0</v>
      </c>
      <c r="AH32" s="36" t="str">
        <f t="shared" si="9"/>
        <v/>
      </c>
    </row>
    <row r="33" spans="1:34" ht="21.6" customHeight="1" x14ac:dyDescent="0.25">
      <c r="A33" s="32" t="s">
        <v>15</v>
      </c>
      <c r="B33" s="2"/>
      <c r="C33" s="2"/>
      <c r="D33" s="30"/>
      <c r="AA33" s="34" t="b">
        <v>0</v>
      </c>
      <c r="AB33" s="34" t="b">
        <v>0</v>
      </c>
      <c r="AC33" s="35">
        <f t="shared" si="0"/>
        <v>0</v>
      </c>
      <c r="AD33" s="35">
        <f t="shared" si="8"/>
        <v>0</v>
      </c>
      <c r="AE33" s="35">
        <f t="shared" si="2"/>
        <v>0</v>
      </c>
      <c r="AF33" s="37">
        <f t="shared" si="3"/>
        <v>0</v>
      </c>
      <c r="AG33" s="37">
        <f t="shared" si="4"/>
        <v>0</v>
      </c>
      <c r="AH33" s="36" t="str">
        <f t="shared" si="9"/>
        <v/>
      </c>
    </row>
    <row r="34" spans="1:34" ht="21.6" customHeight="1" thickBot="1" x14ac:dyDescent="0.3">
      <c r="A34" s="31"/>
      <c r="B34" s="7"/>
      <c r="C34" s="7"/>
      <c r="D34" s="28"/>
      <c r="AA34" s="34" t="b">
        <v>0</v>
      </c>
      <c r="AB34" s="34" t="b">
        <v>0</v>
      </c>
      <c r="AC34" s="35">
        <f t="shared" si="0"/>
        <v>0</v>
      </c>
      <c r="AD34" s="35">
        <f t="shared" si="8"/>
        <v>0</v>
      </c>
      <c r="AE34" s="35">
        <f t="shared" si="2"/>
        <v>0</v>
      </c>
      <c r="AF34" s="37">
        <f t="shared" si="3"/>
        <v>0</v>
      </c>
      <c r="AG34" s="37">
        <f t="shared" si="4"/>
        <v>0</v>
      </c>
      <c r="AH34" s="36" t="str">
        <f t="shared" si="9"/>
        <v/>
      </c>
    </row>
    <row r="35" spans="1:34" ht="21.6" customHeight="1" thickBot="1" x14ac:dyDescent="0.3">
      <c r="A35" s="15" t="s">
        <v>51</v>
      </c>
      <c r="B35" s="18">
        <f>AF35</f>
        <v>0</v>
      </c>
      <c r="C35" s="18">
        <f>AG35</f>
        <v>0</v>
      </c>
      <c r="AC35" s="35" t="str">
        <f t="shared" si="0"/>
        <v/>
      </c>
      <c r="AD35" s="35" t="str">
        <f t="shared" si="0"/>
        <v/>
      </c>
      <c r="AF35" s="38">
        <f>SUM(AF30:AF34)</f>
        <v>0</v>
      </c>
      <c r="AG35" s="38">
        <f>SUM(AG30:AG34)</f>
        <v>0</v>
      </c>
    </row>
    <row r="36" spans="1:34" ht="21.6" customHeight="1" thickBot="1" x14ac:dyDescent="0.3">
      <c r="A36" s="10" t="s">
        <v>0</v>
      </c>
      <c r="B36" s="11" t="s">
        <v>1</v>
      </c>
      <c r="C36" s="14" t="s">
        <v>2</v>
      </c>
      <c r="D36" s="12" t="s">
        <v>3</v>
      </c>
      <c r="AC36" s="35" t="str">
        <f t="shared" si="0"/>
        <v/>
      </c>
      <c r="AD36" s="35" t="str">
        <f t="shared" si="0"/>
        <v/>
      </c>
      <c r="AF36" s="37"/>
      <c r="AG36" s="37"/>
    </row>
    <row r="37" spans="1:34" ht="21.6" customHeight="1" x14ac:dyDescent="0.25">
      <c r="A37" s="13" t="s">
        <v>16</v>
      </c>
      <c r="B37" s="2"/>
      <c r="C37" s="2"/>
      <c r="D37" s="26"/>
      <c r="AA37" s="34" t="b">
        <v>0</v>
      </c>
      <c r="AB37" s="34" t="b">
        <v>0</v>
      </c>
      <c r="AC37" s="35">
        <f t="shared" si="0"/>
        <v>0</v>
      </c>
      <c r="AD37" s="35">
        <f>IF(AB37="","",IF(AB37=TRUE,0.5,0))</f>
        <v>0</v>
      </c>
      <c r="AE37" s="35">
        <f t="shared" si="2"/>
        <v>0</v>
      </c>
      <c r="AF37" s="37">
        <f t="shared" si="3"/>
        <v>0</v>
      </c>
      <c r="AG37" s="37">
        <f t="shared" si="4"/>
        <v>0</v>
      </c>
      <c r="AH37" s="36" t="str">
        <f>IF(AD37=0,"",IF(AD37=1,2,0))</f>
        <v/>
      </c>
    </row>
    <row r="38" spans="1:34" ht="21.6" customHeight="1" x14ac:dyDescent="0.25">
      <c r="A38" s="5" t="s">
        <v>17</v>
      </c>
      <c r="B38" s="2"/>
      <c r="C38" s="2"/>
      <c r="D38" s="27"/>
      <c r="AA38" s="34" t="b">
        <v>0</v>
      </c>
      <c r="AB38" s="34" t="b">
        <v>0</v>
      </c>
      <c r="AC38" s="35">
        <f t="shared" si="0"/>
        <v>0</v>
      </c>
      <c r="AD38" s="35">
        <f t="shared" ref="AD38:AD41" si="10">IF(AB38="","",IF(AB38=TRUE,0.5,0))</f>
        <v>0</v>
      </c>
      <c r="AE38" s="35">
        <f t="shared" si="2"/>
        <v>0</v>
      </c>
      <c r="AF38" s="37">
        <f t="shared" si="3"/>
        <v>0</v>
      </c>
      <c r="AG38" s="37">
        <f t="shared" si="4"/>
        <v>0</v>
      </c>
      <c r="AH38" s="36" t="str">
        <f t="shared" ref="AH38:AH41" si="11">IF(AD38=0,"",IF(AD38=1,2,0))</f>
        <v/>
      </c>
    </row>
    <row r="39" spans="1:34" ht="21.6" customHeight="1" x14ac:dyDescent="0.25">
      <c r="A39" s="5" t="s">
        <v>18</v>
      </c>
      <c r="B39" s="2"/>
      <c r="C39" s="2"/>
      <c r="D39" s="27"/>
      <c r="AA39" s="34" t="b">
        <v>0</v>
      </c>
      <c r="AB39" s="34" t="b">
        <v>0</v>
      </c>
      <c r="AC39" s="35">
        <f t="shared" si="0"/>
        <v>0</v>
      </c>
      <c r="AD39" s="35">
        <f t="shared" si="10"/>
        <v>0</v>
      </c>
      <c r="AE39" s="35">
        <f t="shared" si="2"/>
        <v>0</v>
      </c>
      <c r="AF39" s="37">
        <f t="shared" si="3"/>
        <v>0</v>
      </c>
      <c r="AG39" s="37">
        <f t="shared" si="4"/>
        <v>0</v>
      </c>
      <c r="AH39" s="36" t="str">
        <f t="shared" si="11"/>
        <v/>
      </c>
    </row>
    <row r="40" spans="1:34" ht="21.6" customHeight="1" x14ac:dyDescent="0.25">
      <c r="A40" s="32" t="s">
        <v>19</v>
      </c>
      <c r="B40" s="2"/>
      <c r="C40" s="2"/>
      <c r="D40" s="30"/>
      <c r="AA40" s="34" t="b">
        <v>0</v>
      </c>
      <c r="AB40" s="34" t="b">
        <v>0</v>
      </c>
      <c r="AC40" s="35">
        <f t="shared" si="0"/>
        <v>0</v>
      </c>
      <c r="AD40" s="35">
        <f t="shared" si="10"/>
        <v>0</v>
      </c>
      <c r="AE40" s="35">
        <f t="shared" si="2"/>
        <v>0</v>
      </c>
      <c r="AF40" s="37">
        <f t="shared" si="3"/>
        <v>0</v>
      </c>
      <c r="AG40" s="37">
        <f t="shared" si="4"/>
        <v>0</v>
      </c>
      <c r="AH40" s="36" t="str">
        <f t="shared" si="11"/>
        <v/>
      </c>
    </row>
    <row r="41" spans="1:34" ht="21.6" customHeight="1" thickBot="1" x14ac:dyDescent="0.3">
      <c r="A41" s="31"/>
      <c r="B41" s="7"/>
      <c r="C41" s="7"/>
      <c r="D41" s="28"/>
      <c r="AA41" s="34" t="b">
        <v>0</v>
      </c>
      <c r="AB41" s="34" t="b">
        <v>0</v>
      </c>
      <c r="AC41" s="35">
        <f t="shared" si="0"/>
        <v>0</v>
      </c>
      <c r="AD41" s="35">
        <f t="shared" si="10"/>
        <v>0</v>
      </c>
      <c r="AE41" s="35">
        <f t="shared" si="2"/>
        <v>0</v>
      </c>
      <c r="AF41" s="37">
        <f t="shared" si="3"/>
        <v>0</v>
      </c>
      <c r="AG41" s="37">
        <f t="shared" si="4"/>
        <v>0</v>
      </c>
      <c r="AH41" s="36" t="str">
        <f t="shared" si="11"/>
        <v/>
      </c>
    </row>
    <row r="42" spans="1:34" ht="21.6" customHeight="1" thickBot="1" x14ac:dyDescent="0.3">
      <c r="A42" s="17" t="s">
        <v>58</v>
      </c>
      <c r="B42" s="18">
        <f>AF42</f>
        <v>0</v>
      </c>
      <c r="C42" s="18">
        <f>AG42</f>
        <v>0</v>
      </c>
      <c r="AC42" s="35" t="str">
        <f t="shared" si="0"/>
        <v/>
      </c>
      <c r="AD42" s="35" t="str">
        <f t="shared" si="0"/>
        <v/>
      </c>
      <c r="AF42" s="38">
        <f>SUM(AF37:AF41)</f>
        <v>0</v>
      </c>
      <c r="AG42" s="38">
        <f>SUM(AG37:AG41)</f>
        <v>0</v>
      </c>
    </row>
    <row r="43" spans="1:34" ht="21.6" customHeight="1" thickBot="1" x14ac:dyDescent="0.3">
      <c r="A43" s="10" t="s">
        <v>0</v>
      </c>
      <c r="B43" s="11" t="s">
        <v>1</v>
      </c>
      <c r="C43" s="14" t="s">
        <v>2</v>
      </c>
      <c r="D43" s="12" t="s">
        <v>3</v>
      </c>
      <c r="AC43" s="35" t="str">
        <f t="shared" si="0"/>
        <v/>
      </c>
      <c r="AD43" s="35" t="str">
        <f t="shared" si="0"/>
        <v/>
      </c>
      <c r="AF43" s="37"/>
      <c r="AG43" s="37"/>
    </row>
    <row r="44" spans="1:34" ht="21.6" customHeight="1" x14ac:dyDescent="0.25">
      <c r="A44" s="13" t="s">
        <v>20</v>
      </c>
      <c r="B44" s="2"/>
      <c r="C44" s="2"/>
      <c r="D44" s="26"/>
      <c r="AA44" s="34" t="b">
        <v>0</v>
      </c>
      <c r="AB44" s="34" t="b">
        <v>0</v>
      </c>
      <c r="AC44" s="35">
        <f t="shared" si="0"/>
        <v>0</v>
      </c>
      <c r="AD44" s="35">
        <f>IF(AB44="","",IF(AB44=TRUE,0.5,0))</f>
        <v>0</v>
      </c>
      <c r="AE44" s="35">
        <f t="shared" si="2"/>
        <v>0</v>
      </c>
      <c r="AF44" s="37">
        <f t="shared" si="3"/>
        <v>0</v>
      </c>
      <c r="AG44" s="37">
        <f t="shared" si="4"/>
        <v>0</v>
      </c>
      <c r="AH44" s="36" t="str">
        <f>IF(AD44=0,"",IF(AD44=1,2,0))</f>
        <v/>
      </c>
    </row>
    <row r="45" spans="1:34" ht="21.6" customHeight="1" x14ac:dyDescent="0.25">
      <c r="A45" s="5" t="s">
        <v>21</v>
      </c>
      <c r="B45" s="2"/>
      <c r="C45" s="2"/>
      <c r="D45" s="27"/>
      <c r="AA45" s="34" t="b">
        <v>0</v>
      </c>
      <c r="AB45" s="34" t="b">
        <v>0</v>
      </c>
      <c r="AC45" s="35">
        <f t="shared" si="0"/>
        <v>0</v>
      </c>
      <c r="AD45" s="35">
        <f t="shared" ref="AD45:AD48" si="12">IF(AB45="","",IF(AB45=TRUE,0.5,0))</f>
        <v>0</v>
      </c>
      <c r="AE45" s="35">
        <f t="shared" si="2"/>
        <v>0</v>
      </c>
      <c r="AF45" s="37">
        <f t="shared" si="3"/>
        <v>0</v>
      </c>
      <c r="AG45" s="37">
        <f t="shared" si="4"/>
        <v>0</v>
      </c>
      <c r="AH45" s="36" t="str">
        <f t="shared" ref="AH45:AH48" si="13">IF(AD45=0,"",IF(AD45=1,2,0))</f>
        <v/>
      </c>
    </row>
    <row r="46" spans="1:34" ht="21.6" customHeight="1" x14ac:dyDescent="0.25">
      <c r="A46" s="5" t="s">
        <v>22</v>
      </c>
      <c r="B46" s="2"/>
      <c r="C46" s="2"/>
      <c r="D46" s="27"/>
      <c r="AA46" s="34" t="b">
        <v>0</v>
      </c>
      <c r="AB46" s="34" t="b">
        <v>0</v>
      </c>
      <c r="AC46" s="35">
        <f t="shared" si="0"/>
        <v>0</v>
      </c>
      <c r="AD46" s="35">
        <f t="shared" si="12"/>
        <v>0</v>
      </c>
      <c r="AE46" s="35">
        <f t="shared" si="2"/>
        <v>0</v>
      </c>
      <c r="AF46" s="37">
        <f t="shared" si="3"/>
        <v>0</v>
      </c>
      <c r="AG46" s="37">
        <f t="shared" si="4"/>
        <v>0</v>
      </c>
      <c r="AH46" s="36" t="str">
        <f t="shared" si="13"/>
        <v/>
      </c>
    </row>
    <row r="47" spans="1:34" ht="21.6" customHeight="1" x14ac:dyDescent="0.25">
      <c r="A47" s="32" t="s">
        <v>23</v>
      </c>
      <c r="B47" s="2"/>
      <c r="C47" s="2"/>
      <c r="D47" s="30"/>
      <c r="AA47" s="34" t="b">
        <v>0</v>
      </c>
      <c r="AB47" s="34" t="b">
        <v>0</v>
      </c>
      <c r="AC47" s="35">
        <f t="shared" si="0"/>
        <v>0</v>
      </c>
      <c r="AD47" s="35">
        <f t="shared" si="12"/>
        <v>0</v>
      </c>
      <c r="AE47" s="35">
        <f t="shared" si="2"/>
        <v>0</v>
      </c>
      <c r="AF47" s="37">
        <f t="shared" si="3"/>
        <v>0</v>
      </c>
      <c r="AG47" s="37">
        <f t="shared" si="4"/>
        <v>0</v>
      </c>
      <c r="AH47" s="36" t="str">
        <f t="shared" si="13"/>
        <v/>
      </c>
    </row>
    <row r="48" spans="1:34" ht="21.6" customHeight="1" thickBot="1" x14ac:dyDescent="0.3">
      <c r="A48" s="31"/>
      <c r="B48" s="7"/>
      <c r="C48" s="7"/>
      <c r="D48" s="28"/>
      <c r="AA48" s="34" t="b">
        <v>0</v>
      </c>
      <c r="AB48" s="34" t="b">
        <v>0</v>
      </c>
      <c r="AC48" s="35">
        <f t="shared" si="0"/>
        <v>0</v>
      </c>
      <c r="AD48" s="35">
        <f t="shared" si="12"/>
        <v>0</v>
      </c>
      <c r="AE48" s="35">
        <f t="shared" si="2"/>
        <v>0</v>
      </c>
      <c r="AF48" s="37">
        <f t="shared" si="3"/>
        <v>0</v>
      </c>
      <c r="AG48" s="37">
        <f t="shared" si="4"/>
        <v>0</v>
      </c>
      <c r="AH48" s="36" t="str">
        <f t="shared" si="13"/>
        <v/>
      </c>
    </row>
    <row r="49" spans="1:34" ht="21.6" customHeight="1" thickBot="1" x14ac:dyDescent="0.3">
      <c r="A49" s="17" t="s">
        <v>57</v>
      </c>
      <c r="B49" s="18">
        <f>AF49</f>
        <v>0</v>
      </c>
      <c r="C49" s="18">
        <f>AG49</f>
        <v>0</v>
      </c>
      <c r="AC49" s="35" t="str">
        <f t="shared" si="0"/>
        <v/>
      </c>
      <c r="AD49" s="35" t="str">
        <f t="shared" si="0"/>
        <v/>
      </c>
      <c r="AF49" s="38">
        <f>SUM(AF44:AF48)</f>
        <v>0</v>
      </c>
      <c r="AG49" s="38">
        <f>SUM(AG44:AG48)</f>
        <v>0</v>
      </c>
    </row>
    <row r="50" spans="1:34" ht="21.6" customHeight="1" thickBot="1" x14ac:dyDescent="0.3">
      <c r="A50" s="10" t="s">
        <v>0</v>
      </c>
      <c r="B50" s="11" t="s">
        <v>1</v>
      </c>
      <c r="C50" s="14" t="s">
        <v>2</v>
      </c>
      <c r="D50" s="12" t="s">
        <v>3</v>
      </c>
      <c r="AC50" s="35" t="str">
        <f t="shared" si="0"/>
        <v/>
      </c>
      <c r="AD50" s="35" t="str">
        <f t="shared" si="0"/>
        <v/>
      </c>
      <c r="AF50" s="37"/>
      <c r="AG50" s="37"/>
    </row>
    <row r="51" spans="1:34" ht="21.6" customHeight="1" x14ac:dyDescent="0.25">
      <c r="A51" s="13" t="s">
        <v>24</v>
      </c>
      <c r="B51" s="2"/>
      <c r="C51" s="2"/>
      <c r="D51" s="26"/>
      <c r="AA51" s="34" t="b">
        <v>0</v>
      </c>
      <c r="AB51" s="34" t="b">
        <v>0</v>
      </c>
      <c r="AC51" s="35">
        <f t="shared" si="0"/>
        <v>0</v>
      </c>
      <c r="AD51" s="35">
        <f>IF(AB51="","",IF(AB51=TRUE,0.5,0))</f>
        <v>0</v>
      </c>
      <c r="AE51" s="35">
        <f t="shared" si="2"/>
        <v>0</v>
      </c>
      <c r="AF51" s="37">
        <f t="shared" si="3"/>
        <v>0</v>
      </c>
      <c r="AG51" s="37">
        <f t="shared" si="4"/>
        <v>0</v>
      </c>
      <c r="AH51" s="36" t="str">
        <f>IF(AD51=0,"",IF(AD51=1,2,0))</f>
        <v/>
      </c>
    </row>
    <row r="52" spans="1:34" ht="21.6" customHeight="1" x14ac:dyDescent="0.25">
      <c r="A52" s="5" t="s">
        <v>25</v>
      </c>
      <c r="B52" s="2"/>
      <c r="C52" s="2"/>
      <c r="D52" s="27"/>
      <c r="AA52" s="34" t="b">
        <v>0</v>
      </c>
      <c r="AB52" s="34" t="b">
        <v>0</v>
      </c>
      <c r="AC52" s="35">
        <f t="shared" si="0"/>
        <v>0</v>
      </c>
      <c r="AD52" s="35">
        <f t="shared" ref="AD52:AD55" si="14">IF(AB52="","",IF(AB52=TRUE,0.5,0))</f>
        <v>0</v>
      </c>
      <c r="AE52" s="35">
        <f t="shared" si="2"/>
        <v>0</v>
      </c>
      <c r="AF52" s="37">
        <f t="shared" si="3"/>
        <v>0</v>
      </c>
      <c r="AG52" s="37">
        <f t="shared" si="4"/>
        <v>0</v>
      </c>
      <c r="AH52" s="36" t="str">
        <f t="shared" ref="AH52:AH55" si="15">IF(AD52=0,"",IF(AD52=1,2,0))</f>
        <v/>
      </c>
    </row>
    <row r="53" spans="1:34" ht="21.6" customHeight="1" x14ac:dyDescent="0.25">
      <c r="A53" s="5" t="s">
        <v>26</v>
      </c>
      <c r="B53" s="2"/>
      <c r="C53" s="2"/>
      <c r="D53" s="27"/>
      <c r="AA53" s="34" t="b">
        <v>0</v>
      </c>
      <c r="AB53" s="34" t="b">
        <v>0</v>
      </c>
      <c r="AC53" s="35">
        <f t="shared" si="0"/>
        <v>0</v>
      </c>
      <c r="AD53" s="35">
        <f t="shared" si="14"/>
        <v>0</v>
      </c>
      <c r="AE53" s="35">
        <f t="shared" si="2"/>
        <v>0</v>
      </c>
      <c r="AF53" s="37">
        <f t="shared" si="3"/>
        <v>0</v>
      </c>
      <c r="AG53" s="37">
        <f t="shared" si="4"/>
        <v>0</v>
      </c>
      <c r="AH53" s="36" t="str">
        <f t="shared" si="15"/>
        <v/>
      </c>
    </row>
    <row r="54" spans="1:34" ht="21.6" customHeight="1" x14ac:dyDescent="0.25">
      <c r="A54" s="5" t="s">
        <v>27</v>
      </c>
      <c r="B54" s="2"/>
      <c r="C54" s="2"/>
      <c r="D54" s="27"/>
      <c r="AA54" s="34" t="b">
        <v>0</v>
      </c>
      <c r="AB54" s="34" t="b">
        <v>0</v>
      </c>
      <c r="AC54" s="35">
        <f t="shared" si="0"/>
        <v>0</v>
      </c>
      <c r="AD54" s="35">
        <f t="shared" si="14"/>
        <v>0</v>
      </c>
      <c r="AE54" s="35">
        <f t="shared" si="2"/>
        <v>0</v>
      </c>
      <c r="AF54" s="37">
        <f t="shared" si="3"/>
        <v>0</v>
      </c>
      <c r="AG54" s="37">
        <f t="shared" si="4"/>
        <v>0</v>
      </c>
      <c r="AH54" s="36" t="str">
        <f t="shared" si="15"/>
        <v/>
      </c>
    </row>
    <row r="55" spans="1:34" ht="21.6" customHeight="1" thickBot="1" x14ac:dyDescent="0.3">
      <c r="A55" s="6" t="s">
        <v>28</v>
      </c>
      <c r="B55" s="7"/>
      <c r="C55" s="7"/>
      <c r="D55" s="28"/>
      <c r="AA55" s="34" t="b">
        <v>0</v>
      </c>
      <c r="AB55" s="34" t="b">
        <v>0</v>
      </c>
      <c r="AC55" s="35">
        <f t="shared" si="0"/>
        <v>0</v>
      </c>
      <c r="AD55" s="35">
        <f t="shared" si="14"/>
        <v>0</v>
      </c>
      <c r="AE55" s="35">
        <f t="shared" si="2"/>
        <v>0</v>
      </c>
      <c r="AF55" s="37">
        <f t="shared" si="3"/>
        <v>0</v>
      </c>
      <c r="AG55" s="37">
        <f t="shared" si="4"/>
        <v>0</v>
      </c>
      <c r="AH55" s="36" t="str">
        <f t="shared" si="15"/>
        <v/>
      </c>
    </row>
    <row r="56" spans="1:34" ht="21.6" customHeight="1" thickBot="1" x14ac:dyDescent="0.3">
      <c r="A56" s="15" t="s">
        <v>47</v>
      </c>
      <c r="B56" s="18">
        <f>AF56</f>
        <v>0</v>
      </c>
      <c r="C56" s="18">
        <f>AG56</f>
        <v>0</v>
      </c>
      <c r="AC56" s="35" t="str">
        <f t="shared" si="0"/>
        <v/>
      </c>
      <c r="AD56" s="35" t="str">
        <f t="shared" si="0"/>
        <v/>
      </c>
      <c r="AF56" s="38">
        <f>SUM(AF51:AF55)</f>
        <v>0</v>
      </c>
      <c r="AG56" s="38">
        <f>SUM(AG51:AG55)</f>
        <v>0</v>
      </c>
    </row>
    <row r="57" spans="1:34" ht="21.6" customHeight="1" thickBot="1" x14ac:dyDescent="0.3">
      <c r="A57" s="10" t="s">
        <v>0</v>
      </c>
      <c r="B57" s="11" t="s">
        <v>1</v>
      </c>
      <c r="C57" s="14" t="s">
        <v>2</v>
      </c>
      <c r="D57" s="12" t="s">
        <v>3</v>
      </c>
      <c r="AC57" s="35" t="str">
        <f t="shared" si="0"/>
        <v/>
      </c>
      <c r="AD57" s="35" t="str">
        <f t="shared" si="0"/>
        <v/>
      </c>
      <c r="AF57" s="37"/>
      <c r="AG57" s="37"/>
    </row>
    <row r="58" spans="1:34" ht="21.6" customHeight="1" x14ac:dyDescent="0.25">
      <c r="A58" s="13" t="s">
        <v>29</v>
      </c>
      <c r="B58" s="2"/>
      <c r="C58" s="2"/>
      <c r="D58" s="26"/>
      <c r="AA58" s="34" t="b">
        <v>0</v>
      </c>
      <c r="AB58" s="34" t="b">
        <v>0</v>
      </c>
      <c r="AC58" s="35">
        <f t="shared" si="0"/>
        <v>0</v>
      </c>
      <c r="AD58" s="35">
        <f>IF(AB58="","",IF(AB58=TRUE,0.5,0))</f>
        <v>0</v>
      </c>
      <c r="AE58" s="35">
        <f t="shared" si="2"/>
        <v>0</v>
      </c>
      <c r="AF58" s="37">
        <f t="shared" si="3"/>
        <v>0</v>
      </c>
      <c r="AG58" s="37">
        <f t="shared" si="4"/>
        <v>0</v>
      </c>
      <c r="AH58" s="36" t="str">
        <f>IF(AD58=0,"",IF(AD58=1,2,0))</f>
        <v/>
      </c>
    </row>
    <row r="59" spans="1:34" ht="21.6" customHeight="1" x14ac:dyDescent="0.25">
      <c r="A59" s="5" t="s">
        <v>30</v>
      </c>
      <c r="B59" s="2"/>
      <c r="C59" s="2"/>
      <c r="D59" s="27"/>
      <c r="AA59" s="34" t="b">
        <v>0</v>
      </c>
      <c r="AB59" s="34" t="b">
        <v>0</v>
      </c>
      <c r="AC59" s="35">
        <f t="shared" si="0"/>
        <v>0</v>
      </c>
      <c r="AD59" s="35">
        <f t="shared" ref="AD59:AD62" si="16">IF(AB59="","",IF(AB59=TRUE,0.5,0))</f>
        <v>0</v>
      </c>
      <c r="AE59" s="35">
        <f t="shared" si="2"/>
        <v>0</v>
      </c>
      <c r="AF59" s="37">
        <f t="shared" si="3"/>
        <v>0</v>
      </c>
      <c r="AG59" s="37">
        <f t="shared" si="4"/>
        <v>0</v>
      </c>
      <c r="AH59" s="36" t="str">
        <f t="shared" ref="AH59:AH62" si="17">IF(AD59=0,"",IF(AD59=1,2,0))</f>
        <v/>
      </c>
    </row>
    <row r="60" spans="1:34" ht="21.6" customHeight="1" x14ac:dyDescent="0.25">
      <c r="A60" s="5" t="s">
        <v>31</v>
      </c>
      <c r="B60" s="2"/>
      <c r="C60" s="2"/>
      <c r="D60" s="27"/>
      <c r="AA60" s="34" t="b">
        <v>0</v>
      </c>
      <c r="AB60" s="34" t="b">
        <v>0</v>
      </c>
      <c r="AC60" s="35">
        <f t="shared" si="0"/>
        <v>0</v>
      </c>
      <c r="AD60" s="35">
        <f t="shared" si="16"/>
        <v>0</v>
      </c>
      <c r="AE60" s="35">
        <f t="shared" si="2"/>
        <v>0</v>
      </c>
      <c r="AF60" s="37">
        <f t="shared" si="3"/>
        <v>0</v>
      </c>
      <c r="AG60" s="37">
        <f t="shared" si="4"/>
        <v>0</v>
      </c>
      <c r="AH60" s="36" t="str">
        <f t="shared" si="17"/>
        <v/>
      </c>
    </row>
    <row r="61" spans="1:34" ht="21.6" customHeight="1" x14ac:dyDescent="0.25">
      <c r="A61" s="32" t="s">
        <v>32</v>
      </c>
      <c r="B61" s="2"/>
      <c r="C61" s="2"/>
      <c r="D61" s="30"/>
      <c r="AA61" s="34" t="b">
        <v>0</v>
      </c>
      <c r="AB61" s="34" t="b">
        <v>0</v>
      </c>
      <c r="AC61" s="35">
        <f t="shared" si="0"/>
        <v>0</v>
      </c>
      <c r="AD61" s="35">
        <f t="shared" si="16"/>
        <v>0</v>
      </c>
      <c r="AE61" s="35">
        <f t="shared" si="2"/>
        <v>0</v>
      </c>
      <c r="AF61" s="37">
        <f t="shared" si="3"/>
        <v>0</v>
      </c>
      <c r="AG61" s="37">
        <f t="shared" si="4"/>
        <v>0</v>
      </c>
      <c r="AH61" s="36" t="str">
        <f t="shared" si="17"/>
        <v/>
      </c>
    </row>
    <row r="62" spans="1:34" ht="21.6" customHeight="1" thickBot="1" x14ac:dyDescent="0.3">
      <c r="A62" s="31"/>
      <c r="B62" s="7"/>
      <c r="C62" s="7"/>
      <c r="D62" s="28"/>
      <c r="AA62" s="34" t="b">
        <v>0</v>
      </c>
      <c r="AB62" s="34" t="b">
        <v>0</v>
      </c>
      <c r="AC62" s="35">
        <f t="shared" si="0"/>
        <v>0</v>
      </c>
      <c r="AD62" s="35">
        <f t="shared" si="16"/>
        <v>0</v>
      </c>
      <c r="AE62" s="35">
        <f t="shared" si="2"/>
        <v>0</v>
      </c>
      <c r="AF62" s="37">
        <f t="shared" si="3"/>
        <v>0</v>
      </c>
      <c r="AG62" s="37">
        <f t="shared" si="4"/>
        <v>0</v>
      </c>
      <c r="AH62" s="36" t="str">
        <f t="shared" si="17"/>
        <v/>
      </c>
    </row>
    <row r="63" spans="1:34" ht="21.6" customHeight="1" thickBot="1" x14ac:dyDescent="0.3">
      <c r="A63" s="15" t="s">
        <v>48</v>
      </c>
      <c r="B63" s="18">
        <f>AF63</f>
        <v>0</v>
      </c>
      <c r="C63" s="18">
        <f>AG63</f>
        <v>0</v>
      </c>
      <c r="AC63" s="35" t="str">
        <f t="shared" si="0"/>
        <v/>
      </c>
      <c r="AD63" s="35" t="str">
        <f t="shared" si="0"/>
        <v/>
      </c>
      <c r="AF63" s="38">
        <f>SUM(AF58:AF62)</f>
        <v>0</v>
      </c>
      <c r="AG63" s="38">
        <f>SUM(AG58:AG62)</f>
        <v>0</v>
      </c>
    </row>
    <row r="64" spans="1:34" ht="21.6" customHeight="1" thickBot="1" x14ac:dyDescent="0.3">
      <c r="A64" s="10" t="s">
        <v>0</v>
      </c>
      <c r="B64" s="11" t="s">
        <v>1</v>
      </c>
      <c r="C64" s="14" t="s">
        <v>2</v>
      </c>
      <c r="D64" s="12" t="s">
        <v>3</v>
      </c>
      <c r="AC64" s="35" t="str">
        <f t="shared" si="0"/>
        <v/>
      </c>
      <c r="AD64" s="35" t="str">
        <f t="shared" si="0"/>
        <v/>
      </c>
      <c r="AF64" s="37"/>
      <c r="AG64" s="37"/>
    </row>
    <row r="65" spans="1:34" ht="21.6" customHeight="1" x14ac:dyDescent="0.25">
      <c r="A65" s="13" t="s">
        <v>33</v>
      </c>
      <c r="B65" s="2"/>
      <c r="C65" s="2"/>
      <c r="D65" s="26"/>
      <c r="AA65" s="34" t="b">
        <v>0</v>
      </c>
      <c r="AB65" s="34" t="b">
        <v>0</v>
      </c>
      <c r="AC65" s="35">
        <f t="shared" si="0"/>
        <v>0</v>
      </c>
      <c r="AD65" s="35">
        <f>IF(AB65="","",IF(AB65=TRUE,0.5,0))</f>
        <v>0</v>
      </c>
      <c r="AE65" s="35">
        <f t="shared" si="2"/>
        <v>0</v>
      </c>
      <c r="AF65" s="37">
        <f t="shared" si="3"/>
        <v>0</v>
      </c>
      <c r="AG65" s="37">
        <f t="shared" si="4"/>
        <v>0</v>
      </c>
      <c r="AH65" s="36" t="str">
        <f>IF(AD65=0,"",IF(AD65=1,2,0))</f>
        <v/>
      </c>
    </row>
    <row r="66" spans="1:34" ht="21.6" customHeight="1" x14ac:dyDescent="0.25">
      <c r="A66" s="5" t="s">
        <v>34</v>
      </c>
      <c r="B66" s="2"/>
      <c r="C66" s="2"/>
      <c r="D66" s="27"/>
      <c r="AA66" s="34" t="b">
        <v>0</v>
      </c>
      <c r="AB66" s="34" t="b">
        <v>0</v>
      </c>
      <c r="AC66" s="35">
        <f t="shared" si="0"/>
        <v>0</v>
      </c>
      <c r="AD66" s="35">
        <f t="shared" ref="AD66:AD69" si="18">IF(AB66="","",IF(AB66=TRUE,0.5,0))</f>
        <v>0</v>
      </c>
      <c r="AE66" s="35">
        <f t="shared" si="2"/>
        <v>0</v>
      </c>
      <c r="AF66" s="37">
        <f t="shared" si="3"/>
        <v>0</v>
      </c>
      <c r="AG66" s="37">
        <f t="shared" si="4"/>
        <v>0</v>
      </c>
      <c r="AH66" s="36" t="str">
        <f t="shared" ref="AH66:AH69" si="19">IF(AD66=0,"",IF(AD66=1,2,0))</f>
        <v/>
      </c>
    </row>
    <row r="67" spans="1:34" ht="21.6" customHeight="1" x14ac:dyDescent="0.25">
      <c r="A67" s="5" t="s">
        <v>35</v>
      </c>
      <c r="B67" s="2"/>
      <c r="C67" s="2"/>
      <c r="D67" s="27"/>
      <c r="AA67" s="34" t="b">
        <v>0</v>
      </c>
      <c r="AB67" s="34" t="b">
        <v>0</v>
      </c>
      <c r="AC67" s="35">
        <f t="shared" si="0"/>
        <v>0</v>
      </c>
      <c r="AD67" s="35">
        <f t="shared" si="18"/>
        <v>0</v>
      </c>
      <c r="AE67" s="35">
        <f t="shared" si="2"/>
        <v>0</v>
      </c>
      <c r="AF67" s="37">
        <f t="shared" si="3"/>
        <v>0</v>
      </c>
      <c r="AG67" s="37">
        <f t="shared" si="4"/>
        <v>0</v>
      </c>
      <c r="AH67" s="36" t="str">
        <f t="shared" si="19"/>
        <v/>
      </c>
    </row>
    <row r="68" spans="1:34" ht="21.6" customHeight="1" x14ac:dyDescent="0.25">
      <c r="A68" s="5" t="s">
        <v>36</v>
      </c>
      <c r="B68" s="2"/>
      <c r="C68" s="2"/>
      <c r="D68" s="27"/>
      <c r="AA68" s="34" t="b">
        <v>0</v>
      </c>
      <c r="AB68" s="34" t="b">
        <v>0</v>
      </c>
      <c r="AC68" s="35">
        <f t="shared" si="0"/>
        <v>0</v>
      </c>
      <c r="AD68" s="35">
        <f t="shared" si="18"/>
        <v>0</v>
      </c>
      <c r="AE68" s="35">
        <f t="shared" si="2"/>
        <v>0</v>
      </c>
      <c r="AF68" s="37">
        <f t="shared" si="3"/>
        <v>0</v>
      </c>
      <c r="AG68" s="37">
        <f t="shared" si="4"/>
        <v>0</v>
      </c>
      <c r="AH68" s="36" t="str">
        <f t="shared" si="19"/>
        <v/>
      </c>
    </row>
    <row r="69" spans="1:34" ht="21.6" customHeight="1" thickBot="1" x14ac:dyDescent="0.3">
      <c r="A69" s="6" t="s">
        <v>37</v>
      </c>
      <c r="B69" s="7"/>
      <c r="C69" s="7"/>
      <c r="D69" s="28"/>
      <c r="AA69" s="34" t="b">
        <v>0</v>
      </c>
      <c r="AB69" s="34" t="b">
        <v>0</v>
      </c>
      <c r="AC69" s="35">
        <f t="shared" si="0"/>
        <v>0</v>
      </c>
      <c r="AD69" s="35">
        <f t="shared" si="18"/>
        <v>0</v>
      </c>
      <c r="AE69" s="35">
        <f t="shared" si="2"/>
        <v>0</v>
      </c>
      <c r="AF69" s="37">
        <f t="shared" si="3"/>
        <v>0</v>
      </c>
      <c r="AG69" s="37">
        <f t="shared" si="4"/>
        <v>0</v>
      </c>
      <c r="AH69" s="36" t="str">
        <f t="shared" si="19"/>
        <v/>
      </c>
    </row>
    <row r="70" spans="1:34" ht="21.6" customHeight="1" thickBot="1" x14ac:dyDescent="0.3">
      <c r="A70" s="15" t="s">
        <v>49</v>
      </c>
      <c r="B70" s="18">
        <f>AF70</f>
        <v>0</v>
      </c>
      <c r="C70" s="18">
        <f>AG70</f>
        <v>0</v>
      </c>
      <c r="AC70" s="35" t="str">
        <f t="shared" si="0"/>
        <v/>
      </c>
      <c r="AD70" s="35" t="str">
        <f t="shared" si="0"/>
        <v/>
      </c>
      <c r="AF70" s="38">
        <f>SUM(AF65:AF69)</f>
        <v>0</v>
      </c>
      <c r="AG70" s="38">
        <f>SUM(AG65:AG69)</f>
        <v>0</v>
      </c>
    </row>
    <row r="71" spans="1:34" ht="21.6" customHeight="1" thickBot="1" x14ac:dyDescent="0.3">
      <c r="A71" s="10" t="s">
        <v>0</v>
      </c>
      <c r="B71" s="11" t="s">
        <v>1</v>
      </c>
      <c r="C71" s="14" t="s">
        <v>2</v>
      </c>
      <c r="D71" s="12" t="s">
        <v>3</v>
      </c>
      <c r="AC71" s="35" t="str">
        <f t="shared" si="0"/>
        <v/>
      </c>
      <c r="AD71" s="35" t="str">
        <f t="shared" si="0"/>
        <v/>
      </c>
      <c r="AF71" s="37"/>
      <c r="AG71" s="37"/>
    </row>
    <row r="72" spans="1:34" ht="21.6" customHeight="1" x14ac:dyDescent="0.25">
      <c r="A72" s="13" t="s">
        <v>38</v>
      </c>
      <c r="B72" s="2"/>
      <c r="C72" s="2"/>
      <c r="D72" s="26"/>
      <c r="AA72" s="34" t="b">
        <v>0</v>
      </c>
      <c r="AB72" s="34" t="b">
        <v>0</v>
      </c>
      <c r="AC72" s="35">
        <f t="shared" si="0"/>
        <v>0</v>
      </c>
      <c r="AD72" s="35">
        <f>IF(AB72="","",IF(AB72=TRUE,0.5,0))</f>
        <v>0</v>
      </c>
      <c r="AE72" s="35">
        <f t="shared" si="2"/>
        <v>0</v>
      </c>
      <c r="AF72" s="37">
        <f t="shared" si="3"/>
        <v>0</v>
      </c>
      <c r="AG72" s="37">
        <f t="shared" si="4"/>
        <v>0</v>
      </c>
      <c r="AH72" s="36" t="str">
        <f>IF(AD72=0,"",IF(AD72=1,2,0))</f>
        <v/>
      </c>
    </row>
    <row r="73" spans="1:34" ht="21.6" customHeight="1" x14ac:dyDescent="0.25">
      <c r="A73" s="5" t="s">
        <v>39</v>
      </c>
      <c r="B73" s="2"/>
      <c r="C73" s="2"/>
      <c r="D73" s="27"/>
      <c r="AA73" s="34" t="b">
        <v>0</v>
      </c>
      <c r="AB73" s="34" t="b">
        <v>0</v>
      </c>
      <c r="AC73" s="35">
        <f t="shared" si="0"/>
        <v>0</v>
      </c>
      <c r="AD73" s="35">
        <f t="shared" ref="AD73:AD76" si="20">IF(AB73="","",IF(AB73=TRUE,0.5,0))</f>
        <v>0</v>
      </c>
      <c r="AE73" s="35">
        <f t="shared" si="2"/>
        <v>0</v>
      </c>
      <c r="AF73" s="37">
        <f t="shared" si="3"/>
        <v>0</v>
      </c>
      <c r="AG73" s="37">
        <f t="shared" si="4"/>
        <v>0</v>
      </c>
      <c r="AH73" s="36" t="str">
        <f t="shared" ref="AH73:AH76" si="21">IF(AD73=0,"",IF(AD73=1,2,0))</f>
        <v/>
      </c>
    </row>
    <row r="74" spans="1:34" ht="21.6" customHeight="1" x14ac:dyDescent="0.25">
      <c r="A74" s="5" t="s">
        <v>40</v>
      </c>
      <c r="B74" s="2"/>
      <c r="C74" s="2"/>
      <c r="D74" s="27"/>
      <c r="AA74" s="34" t="b">
        <v>0</v>
      </c>
      <c r="AB74" s="34" t="b">
        <v>0</v>
      </c>
      <c r="AC74" s="35">
        <f t="shared" si="0"/>
        <v>0</v>
      </c>
      <c r="AD74" s="35">
        <f t="shared" si="20"/>
        <v>0</v>
      </c>
      <c r="AE74" s="35">
        <f t="shared" si="2"/>
        <v>0</v>
      </c>
      <c r="AF74" s="37">
        <f t="shared" si="3"/>
        <v>0</v>
      </c>
      <c r="AG74" s="37">
        <f t="shared" si="4"/>
        <v>0</v>
      </c>
      <c r="AH74" s="36" t="str">
        <f t="shared" si="21"/>
        <v/>
      </c>
    </row>
    <row r="75" spans="1:34" ht="21.6" customHeight="1" x14ac:dyDescent="0.25">
      <c r="A75" s="32" t="s">
        <v>41</v>
      </c>
      <c r="B75" s="2"/>
      <c r="C75" s="2"/>
      <c r="D75" s="30"/>
      <c r="AA75" s="34" t="b">
        <v>0</v>
      </c>
      <c r="AB75" s="34" t="b">
        <v>0</v>
      </c>
      <c r="AC75" s="35">
        <f t="shared" si="0"/>
        <v>0</v>
      </c>
      <c r="AD75" s="35">
        <f t="shared" si="20"/>
        <v>0</v>
      </c>
      <c r="AE75" s="35">
        <f t="shared" si="2"/>
        <v>0</v>
      </c>
      <c r="AF75" s="37">
        <f t="shared" si="3"/>
        <v>0</v>
      </c>
      <c r="AG75" s="37">
        <f t="shared" si="4"/>
        <v>0</v>
      </c>
      <c r="AH75" s="36" t="str">
        <f t="shared" si="21"/>
        <v/>
      </c>
    </row>
    <row r="76" spans="1:34" ht="21.6" customHeight="1" thickBot="1" x14ac:dyDescent="0.3">
      <c r="A76" s="31"/>
      <c r="B76" s="7"/>
      <c r="C76" s="7"/>
      <c r="D76" s="28"/>
      <c r="AA76" s="34" t="b">
        <v>0</v>
      </c>
      <c r="AB76" s="34" t="b">
        <v>0</v>
      </c>
      <c r="AC76" s="35">
        <f t="shared" si="0"/>
        <v>0</v>
      </c>
      <c r="AD76" s="35">
        <f t="shared" si="20"/>
        <v>0</v>
      </c>
      <c r="AE76" s="35">
        <f t="shared" si="2"/>
        <v>0</v>
      </c>
      <c r="AF76" s="37">
        <f t="shared" si="3"/>
        <v>0</v>
      </c>
      <c r="AG76" s="37">
        <f t="shared" si="4"/>
        <v>0</v>
      </c>
      <c r="AH76" s="36" t="str">
        <f t="shared" si="21"/>
        <v/>
      </c>
    </row>
    <row r="77" spans="1:34" ht="21.6" customHeight="1" x14ac:dyDescent="0.25">
      <c r="A77" s="15" t="s">
        <v>50</v>
      </c>
      <c r="B77" s="18">
        <f>AF77</f>
        <v>0</v>
      </c>
      <c r="C77" s="18">
        <f>AG77</f>
        <v>0</v>
      </c>
      <c r="AF77" s="38">
        <f>SUM(AF71:AF76)</f>
        <v>0</v>
      </c>
      <c r="AG77" s="38">
        <f>SUM(AG71:AG76)</f>
        <v>0</v>
      </c>
    </row>
    <row r="78" spans="1:34" ht="16.05" customHeight="1" x14ac:dyDescent="0.25">
      <c r="A78" s="1" t="s">
        <v>42</v>
      </c>
    </row>
    <row r="79" spans="1:34" ht="41.55" customHeight="1" x14ac:dyDescent="0.25">
      <c r="A79" s="84"/>
      <c r="B79" s="85"/>
      <c r="C79" s="85"/>
      <c r="D79" s="86"/>
      <c r="AF79" s="38">
        <f>SUM(AF21,AF28,AF35,AF42,AF49,AF56,AF63,AF70,AF77)</f>
        <v>0</v>
      </c>
      <c r="AG79" s="38">
        <f>SUM(AG21,AG28,AG35,AG42,AG49,AG56,AG63,AG70,AG77)</f>
        <v>0</v>
      </c>
    </row>
    <row r="80" spans="1:34" ht="21.6" customHeight="1" x14ac:dyDescent="0.25">
      <c r="A80" t="s">
        <v>43</v>
      </c>
    </row>
    <row r="81" spans="1:4" ht="41.55" customHeight="1" x14ac:dyDescent="0.25">
      <c r="A81" s="84"/>
      <c r="B81" s="85"/>
      <c r="C81" s="85"/>
      <c r="D81" s="86"/>
    </row>
    <row r="82" spans="1:4" ht="21.6" customHeight="1" x14ac:dyDescent="0.25">
      <c r="A82" t="s">
        <v>44</v>
      </c>
    </row>
    <row r="83" spans="1:4" ht="41.55" customHeight="1" x14ac:dyDescent="0.25">
      <c r="A83" s="84"/>
      <c r="B83" s="85"/>
      <c r="C83" s="85"/>
      <c r="D83" s="86"/>
    </row>
    <row r="85" spans="1:4" x14ac:dyDescent="0.25">
      <c r="A85" s="19" t="s">
        <v>62</v>
      </c>
      <c r="B85" s="19" t="s">
        <v>64</v>
      </c>
    </row>
    <row r="87" spans="1:4" ht="13.8" x14ac:dyDescent="0.25">
      <c r="A87" s="20" t="s">
        <v>66</v>
      </c>
      <c r="B87" s="21"/>
      <c r="C87" s="74" t="s">
        <v>68</v>
      </c>
      <c r="D87" s="74"/>
    </row>
    <row r="88" spans="1:4" x14ac:dyDescent="0.25">
      <c r="A88" s="22" t="s">
        <v>65</v>
      </c>
      <c r="C88" s="75" t="s">
        <v>69</v>
      </c>
      <c r="D88" s="75"/>
    </row>
    <row r="91" spans="1:4" ht="13.8" x14ac:dyDescent="0.25">
      <c r="C91" s="74" t="s">
        <v>63</v>
      </c>
      <c r="D91" s="74"/>
    </row>
    <row r="92" spans="1:4" x14ac:dyDescent="0.25">
      <c r="C92" s="75" t="s">
        <v>67</v>
      </c>
      <c r="D92" s="75"/>
    </row>
  </sheetData>
  <sheetProtection algorithmName="SHA-512" hashValue="Lx+L+vTE1svablHKAV4gG1pv20JSAYKTTqvzluCyLswIAuZjCLDerrdQKG/AT8GFL7VMBjFI7qs50rtyh4XnwA==" saltValue="VcVB+zArZn6W3ixyhtnenw==" spinCount="100000" sheet="1" formatCells="0" formatColumns="0" formatRows="0"/>
  <mergeCells count="15">
    <mergeCell ref="B11:D11"/>
    <mergeCell ref="A5:D5"/>
    <mergeCell ref="A6:D6"/>
    <mergeCell ref="A7:D7"/>
    <mergeCell ref="A8:D8"/>
    <mergeCell ref="A10:D10"/>
    <mergeCell ref="C88:D88"/>
    <mergeCell ref="C91:D91"/>
    <mergeCell ref="C92:D92"/>
    <mergeCell ref="B12:D12"/>
    <mergeCell ref="B13:D13"/>
    <mergeCell ref="A79:D79"/>
    <mergeCell ref="A81:D81"/>
    <mergeCell ref="A83:D83"/>
    <mergeCell ref="C87:D87"/>
  </mergeCells>
  <conditionalFormatting sqref="B16:C16">
    <cfRule type="expression" dxfId="224" priority="45">
      <formula>$AE$16&gt;1</formula>
    </cfRule>
  </conditionalFormatting>
  <conditionalFormatting sqref="B17:C17">
    <cfRule type="expression" dxfId="223" priority="44">
      <formula>$AE$17&gt;1</formula>
    </cfRule>
  </conditionalFormatting>
  <conditionalFormatting sqref="B18:C18">
    <cfRule type="expression" dxfId="222" priority="7">
      <formula>$AE$18&gt;1</formula>
    </cfRule>
  </conditionalFormatting>
  <conditionalFormatting sqref="B19:C19">
    <cfRule type="expression" dxfId="221" priority="42">
      <formula>$AE$19&gt;1</formula>
    </cfRule>
  </conditionalFormatting>
  <conditionalFormatting sqref="B20:C20">
    <cfRule type="expression" dxfId="220" priority="43">
      <formula>$AE$20&gt;1</formula>
    </cfRule>
  </conditionalFormatting>
  <conditionalFormatting sqref="B23:C23">
    <cfRule type="expression" dxfId="219" priority="41">
      <formula>$AE$23&gt;1</formula>
    </cfRule>
  </conditionalFormatting>
  <conditionalFormatting sqref="B24:C24">
    <cfRule type="expression" dxfId="218" priority="40">
      <formula>$AE$24&gt;1</formula>
    </cfRule>
  </conditionalFormatting>
  <conditionalFormatting sqref="B25:C25">
    <cfRule type="expression" dxfId="217" priority="6">
      <formula>$AE$25&gt;1</formula>
    </cfRule>
  </conditionalFormatting>
  <conditionalFormatting sqref="B26:C26">
    <cfRule type="expression" dxfId="216" priority="39">
      <formula>$AE$26&gt;1</formula>
    </cfRule>
  </conditionalFormatting>
  <conditionalFormatting sqref="B27:C27">
    <cfRule type="expression" dxfId="215" priority="38">
      <formula>$AE$27&gt;1</formula>
    </cfRule>
  </conditionalFormatting>
  <conditionalFormatting sqref="B30:C30">
    <cfRule type="expression" dxfId="214" priority="37">
      <formula>$AE$30&gt;1</formula>
    </cfRule>
  </conditionalFormatting>
  <conditionalFormatting sqref="B31:C31">
    <cfRule type="expression" dxfId="213" priority="36">
      <formula>$AE$31&gt;1</formula>
    </cfRule>
  </conditionalFormatting>
  <conditionalFormatting sqref="B32:C32">
    <cfRule type="expression" dxfId="212" priority="35">
      <formula>$AE$32&gt;1</formula>
    </cfRule>
  </conditionalFormatting>
  <conditionalFormatting sqref="B33:C33">
    <cfRule type="expression" dxfId="211" priority="5">
      <formula>$AE$33&gt;1</formula>
    </cfRule>
  </conditionalFormatting>
  <conditionalFormatting sqref="B34:C34">
    <cfRule type="expression" dxfId="210" priority="34">
      <formula>$AE$34&gt;1</formula>
    </cfRule>
  </conditionalFormatting>
  <conditionalFormatting sqref="B37:C37">
    <cfRule type="expression" dxfId="209" priority="33">
      <formula>$AE$37&gt;1</formula>
    </cfRule>
  </conditionalFormatting>
  <conditionalFormatting sqref="B38:C38">
    <cfRule type="expression" dxfId="208" priority="32">
      <formula>$AE$38&gt;1</formula>
    </cfRule>
  </conditionalFormatting>
  <conditionalFormatting sqref="B39:C39">
    <cfRule type="expression" dxfId="207" priority="4">
      <formula>$AE$39&gt;1</formula>
    </cfRule>
  </conditionalFormatting>
  <conditionalFormatting sqref="B40:C40">
    <cfRule type="expression" dxfId="206" priority="31">
      <formula>$AE$40&gt;1</formula>
    </cfRule>
  </conditionalFormatting>
  <conditionalFormatting sqref="B41:C41">
    <cfRule type="expression" dxfId="205" priority="30">
      <formula>$AE$41&gt;1</formula>
    </cfRule>
  </conditionalFormatting>
  <conditionalFormatting sqref="B44:C44">
    <cfRule type="expression" dxfId="204" priority="29">
      <formula>$AE$44&gt;1</formula>
    </cfRule>
  </conditionalFormatting>
  <conditionalFormatting sqref="B45:C45">
    <cfRule type="expression" dxfId="203" priority="28">
      <formula>$AE$45&gt;1</formula>
    </cfRule>
  </conditionalFormatting>
  <conditionalFormatting sqref="B46:C46">
    <cfRule type="expression" dxfId="202" priority="27">
      <formula>$AE$46&gt;1</formula>
    </cfRule>
  </conditionalFormatting>
  <conditionalFormatting sqref="B47:C47">
    <cfRule type="expression" dxfId="201" priority="3">
      <formula>$AE$47&gt;1</formula>
    </cfRule>
  </conditionalFormatting>
  <conditionalFormatting sqref="B48:C48">
    <cfRule type="expression" dxfId="200" priority="26">
      <formula>$AE$48&gt;1</formula>
    </cfRule>
  </conditionalFormatting>
  <conditionalFormatting sqref="B51:C51">
    <cfRule type="expression" dxfId="199" priority="25">
      <formula>$AE$51&gt;1</formula>
    </cfRule>
  </conditionalFormatting>
  <conditionalFormatting sqref="B52:C52">
    <cfRule type="expression" dxfId="198" priority="24">
      <formula>$AE$52&gt;1</formula>
    </cfRule>
  </conditionalFormatting>
  <conditionalFormatting sqref="B53:C53">
    <cfRule type="expression" dxfId="197" priority="23">
      <formula>$AE$53&gt;1</formula>
    </cfRule>
  </conditionalFormatting>
  <conditionalFormatting sqref="B54:C54">
    <cfRule type="expression" dxfId="196" priority="22">
      <formula>$AE$54&gt;1</formula>
    </cfRule>
  </conditionalFormatting>
  <conditionalFormatting sqref="B55:C55">
    <cfRule type="expression" dxfId="195" priority="21">
      <formula>$AE$55&gt;1</formula>
    </cfRule>
  </conditionalFormatting>
  <conditionalFormatting sqref="B58:C58">
    <cfRule type="expression" dxfId="194" priority="11">
      <formula>$AE$58&gt;1</formula>
    </cfRule>
  </conditionalFormatting>
  <conditionalFormatting sqref="B59:C59">
    <cfRule type="expression" dxfId="193" priority="10">
      <formula>$AE$59&gt;1</formula>
    </cfRule>
  </conditionalFormatting>
  <conditionalFormatting sqref="B60:C60">
    <cfRule type="expression" dxfId="192" priority="9">
      <formula>$AE$60&gt;1</formula>
    </cfRule>
  </conditionalFormatting>
  <conditionalFormatting sqref="B61:C61">
    <cfRule type="expression" dxfId="191" priority="2">
      <formula>$AE$61&gt;1</formula>
    </cfRule>
  </conditionalFormatting>
  <conditionalFormatting sqref="B62:C62">
    <cfRule type="expression" dxfId="190" priority="8">
      <formula>$AE$62&gt;1</formula>
    </cfRule>
  </conditionalFormatting>
  <conditionalFormatting sqref="B65:C65">
    <cfRule type="expression" dxfId="189" priority="20">
      <formula>$AE$65&gt;1</formula>
    </cfRule>
  </conditionalFormatting>
  <conditionalFormatting sqref="B66:C66">
    <cfRule type="expression" dxfId="188" priority="19">
      <formula>$AE$66&gt;1</formula>
    </cfRule>
  </conditionalFormatting>
  <conditionalFormatting sqref="B67:C67">
    <cfRule type="expression" dxfId="187" priority="18">
      <formula>$AE$67&gt;1</formula>
    </cfRule>
  </conditionalFormatting>
  <conditionalFormatting sqref="B68:C68">
    <cfRule type="expression" dxfId="186" priority="17">
      <formula>$AE$68&gt;1</formula>
    </cfRule>
  </conditionalFormatting>
  <conditionalFormatting sqref="B69:C69">
    <cfRule type="expression" dxfId="185" priority="16">
      <formula>$AE$69&gt;1</formula>
    </cfRule>
  </conditionalFormatting>
  <conditionalFormatting sqref="B72:C72">
    <cfRule type="expression" dxfId="184" priority="15">
      <formula>$AE$72&gt;1</formula>
    </cfRule>
  </conditionalFormatting>
  <conditionalFormatting sqref="B73:C73">
    <cfRule type="expression" dxfId="183" priority="14">
      <formula>$AE$73&gt;1</formula>
    </cfRule>
  </conditionalFormatting>
  <conditionalFormatting sqref="B74:C74">
    <cfRule type="expression" dxfId="182" priority="13">
      <formula>$AE$74&gt;1</formula>
    </cfRule>
  </conditionalFormatting>
  <conditionalFormatting sqref="B75:C75">
    <cfRule type="expression" dxfId="181" priority="1">
      <formula>$AE$75&gt;1</formula>
    </cfRule>
  </conditionalFormatting>
  <conditionalFormatting sqref="B76:C76">
    <cfRule type="expression" dxfId="180" priority="12">
      <formula>$AE$76&gt;1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68580</xdr:rowOff>
                  </from>
                  <to>
                    <xdr:col>1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68580</xdr:rowOff>
                  </from>
                  <to>
                    <xdr:col>1</xdr:col>
                    <xdr:colOff>320040</xdr:colOff>
                    <xdr:row>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68580</xdr:rowOff>
                  </from>
                  <to>
                    <xdr:col>1</xdr:col>
                    <xdr:colOff>297180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68580</xdr:rowOff>
                  </from>
                  <to>
                    <xdr:col>1</xdr:col>
                    <xdr:colOff>297180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68580</xdr:rowOff>
                  </from>
                  <to>
                    <xdr:col>1</xdr:col>
                    <xdr:colOff>281940</xdr:colOff>
                    <xdr:row>23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68580</xdr:rowOff>
                  </from>
                  <to>
                    <xdr:col>1</xdr:col>
                    <xdr:colOff>327660</xdr:colOff>
                    <xdr:row>24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68580</xdr:rowOff>
                  </from>
                  <to>
                    <xdr:col>1</xdr:col>
                    <xdr:colOff>297180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68580</xdr:rowOff>
                  </from>
                  <to>
                    <xdr:col>1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68580</xdr:rowOff>
                  </from>
                  <to>
                    <xdr:col>1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68580</xdr:rowOff>
                  </from>
                  <to>
                    <xdr:col>1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68580</xdr:rowOff>
                  </from>
                  <to>
                    <xdr:col>1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68580</xdr:rowOff>
                  </from>
                  <to>
                    <xdr:col>1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68580</xdr:rowOff>
                  </from>
                  <to>
                    <xdr:col>1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68580</xdr:rowOff>
                  </from>
                  <to>
                    <xdr:col>1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68580</xdr:rowOff>
                  </from>
                  <to>
                    <xdr:col>1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68580</xdr:rowOff>
                  </from>
                  <to>
                    <xdr:col>1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68580</xdr:rowOff>
                  </from>
                  <to>
                    <xdr:col>1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68580</xdr:rowOff>
                  </from>
                  <to>
                    <xdr:col>1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68580</xdr:rowOff>
                  </from>
                  <to>
                    <xdr:col>1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68580</xdr:rowOff>
                  </from>
                  <to>
                    <xdr:col>1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68580</xdr:rowOff>
                  </from>
                  <to>
                    <xdr:col>1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68580</xdr:rowOff>
                  </from>
                  <to>
                    <xdr:col>1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68580</xdr:rowOff>
                  </from>
                  <to>
                    <xdr:col>1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68580</xdr:rowOff>
                  </from>
                  <to>
                    <xdr:col>1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68580</xdr:rowOff>
                  </from>
                  <to>
                    <xdr:col>1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68580</xdr:rowOff>
                  </from>
                  <to>
                    <xdr:col>1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68580</xdr:rowOff>
                  </from>
                  <to>
                    <xdr:col>1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68580</xdr:rowOff>
                  </from>
                  <to>
                    <xdr:col>1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68580</xdr:rowOff>
                  </from>
                  <to>
                    <xdr:col>1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68580</xdr:rowOff>
                  </from>
                  <to>
                    <xdr:col>1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68580</xdr:rowOff>
                  </from>
                  <to>
                    <xdr:col>1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68580</xdr:rowOff>
                  </from>
                  <to>
                    <xdr:col>1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68580</xdr:rowOff>
                  </from>
                  <to>
                    <xdr:col>1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7" name="Check Box 34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68580</xdr:rowOff>
                  </from>
                  <to>
                    <xdr:col>1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8" name="Check Box 35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68580</xdr:rowOff>
                  </from>
                  <to>
                    <xdr:col>1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39" name="Check Box 36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68580</xdr:rowOff>
                  </from>
                  <to>
                    <xdr:col>1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40" name="Check Box 37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68580</xdr:rowOff>
                  </from>
                  <to>
                    <xdr:col>1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68580</xdr:rowOff>
                  </from>
                  <to>
                    <xdr:col>2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68580</xdr:rowOff>
                  </from>
                  <to>
                    <xdr:col>2</xdr:col>
                    <xdr:colOff>327660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68580</xdr:rowOff>
                  </from>
                  <to>
                    <xdr:col>2</xdr:col>
                    <xdr:colOff>327660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68580</xdr:rowOff>
                  </from>
                  <to>
                    <xdr:col>2</xdr:col>
                    <xdr:colOff>327660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68580</xdr:rowOff>
                  </from>
                  <to>
                    <xdr:col>2</xdr:col>
                    <xdr:colOff>327660</xdr:colOff>
                    <xdr:row>23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68580</xdr:rowOff>
                  </from>
                  <to>
                    <xdr:col>2</xdr:col>
                    <xdr:colOff>327660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68580</xdr:rowOff>
                  </from>
                  <to>
                    <xdr:col>2</xdr:col>
                    <xdr:colOff>327660</xdr:colOff>
                    <xdr:row>26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68580</xdr:rowOff>
                  </from>
                  <to>
                    <xdr:col>2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68580</xdr:rowOff>
                  </from>
                  <to>
                    <xdr:col>2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68580</xdr:rowOff>
                  </from>
                  <to>
                    <xdr:col>2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68580</xdr:rowOff>
                  </from>
                  <to>
                    <xdr:col>2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68580</xdr:rowOff>
                  </from>
                  <to>
                    <xdr:col>2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68580</xdr:rowOff>
                  </from>
                  <to>
                    <xdr:col>2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68580</xdr:rowOff>
                  </from>
                  <to>
                    <xdr:col>2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68580</xdr:rowOff>
                  </from>
                  <to>
                    <xdr:col>2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68580</xdr:rowOff>
                  </from>
                  <to>
                    <xdr:col>2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68580</xdr:rowOff>
                  </from>
                  <to>
                    <xdr:col>2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68580</xdr:rowOff>
                  </from>
                  <to>
                    <xdr:col>2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68580</xdr:rowOff>
                  </from>
                  <to>
                    <xdr:col>2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68580</xdr:rowOff>
                  </from>
                  <to>
                    <xdr:col>2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68580</xdr:rowOff>
                  </from>
                  <to>
                    <xdr:col>2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68580</xdr:rowOff>
                  </from>
                  <to>
                    <xdr:col>2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68580</xdr:rowOff>
                  </from>
                  <to>
                    <xdr:col>2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9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68580</xdr:rowOff>
                  </from>
                  <to>
                    <xdr:col>2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0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68580</xdr:rowOff>
                  </from>
                  <to>
                    <xdr:col>2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68580</xdr:rowOff>
                  </from>
                  <to>
                    <xdr:col>2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2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68580</xdr:rowOff>
                  </from>
                  <to>
                    <xdr:col>2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3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68580</xdr:rowOff>
                  </from>
                  <to>
                    <xdr:col>2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4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68580</xdr:rowOff>
                  </from>
                  <to>
                    <xdr:col>2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5" r:id="rId70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68580</xdr:rowOff>
                  </from>
                  <to>
                    <xdr:col>2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68580</xdr:rowOff>
                  </from>
                  <to>
                    <xdr:col>2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72" name="Check Box 69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68580</xdr:rowOff>
                  </from>
                  <to>
                    <xdr:col>2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8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68580</xdr:rowOff>
                  </from>
                  <to>
                    <xdr:col>2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9" r:id="rId74" name="Check Box 71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68580</xdr:rowOff>
                  </from>
                  <to>
                    <xdr:col>2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68580</xdr:rowOff>
                  </from>
                  <to>
                    <xdr:col>2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76" name="Check Box 73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68580</xdr:rowOff>
                  </from>
                  <to>
                    <xdr:col>2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68580</xdr:rowOff>
                  </from>
                  <to>
                    <xdr:col>2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68580</xdr:rowOff>
                  </from>
                  <to>
                    <xdr:col>1</xdr:col>
                    <xdr:colOff>304800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68580</xdr:rowOff>
                  </from>
                  <to>
                    <xdr:col>2</xdr:col>
                    <xdr:colOff>327660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5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68580</xdr:rowOff>
                  </from>
                  <to>
                    <xdr:col>1</xdr:col>
                    <xdr:colOff>320040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68580</xdr:rowOff>
                  </from>
                  <to>
                    <xdr:col>2</xdr:col>
                    <xdr:colOff>327660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68580</xdr:rowOff>
                  </from>
                  <to>
                    <xdr:col>1</xdr:col>
                    <xdr:colOff>327660</xdr:colOff>
                    <xdr:row>25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8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68580</xdr:rowOff>
                  </from>
                  <to>
                    <xdr:col>2</xdr:col>
                    <xdr:colOff>327660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9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68580</xdr:rowOff>
                  </from>
                  <to>
                    <xdr:col>1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0" r:id="rId85" name="Check Box 8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68580</xdr:rowOff>
                  </from>
                  <to>
                    <xdr:col>2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1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68580</xdr:rowOff>
                  </from>
                  <to>
                    <xdr:col>1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2" r:id="rId87" name="Check Box 84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68580</xdr:rowOff>
                  </from>
                  <to>
                    <xdr:col>2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3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68580</xdr:rowOff>
                  </from>
                  <to>
                    <xdr:col>1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4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68580</xdr:rowOff>
                  </from>
                  <to>
                    <xdr:col>2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5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68580</xdr:rowOff>
                  </from>
                  <to>
                    <xdr:col>1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6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68580</xdr:rowOff>
                  </from>
                  <to>
                    <xdr:col>2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68580</xdr:rowOff>
                  </from>
                  <to>
                    <xdr:col>1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68580</xdr:rowOff>
                  </from>
                  <to>
                    <xdr:col>2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4EF7-95C7-4AA0-A511-5A09C2E4CE7C}">
  <dimension ref="A5:AH92"/>
  <sheetViews>
    <sheetView showGridLines="0" topLeftCell="A10" workbookViewId="0">
      <selection activeCell="A88" sqref="A88"/>
    </sheetView>
  </sheetViews>
  <sheetFormatPr defaultColWidth="9.33203125" defaultRowHeight="13.2" x14ac:dyDescent="0.25"/>
  <cols>
    <col min="1" max="1" width="54.6640625" customWidth="1"/>
    <col min="2" max="3" width="6.77734375" customWidth="1"/>
    <col min="4" max="4" width="44.77734375" style="4" customWidth="1"/>
    <col min="6" max="25" width="9.33203125" customWidth="1"/>
    <col min="27" max="28" width="9.33203125" style="34"/>
    <col min="29" max="30" width="4.21875" style="35" customWidth="1"/>
    <col min="31" max="31" width="3.33203125" style="35" customWidth="1"/>
    <col min="32" max="33" width="9.33203125" style="35"/>
    <col min="34" max="34" width="9.33203125" style="36"/>
  </cols>
  <sheetData>
    <row r="5" spans="1:34" ht="13.05" customHeight="1" x14ac:dyDescent="0.25">
      <c r="A5" s="79" t="s">
        <v>59</v>
      </c>
      <c r="B5" s="79"/>
      <c r="C5" s="79"/>
      <c r="D5" s="79"/>
    </row>
    <row r="6" spans="1:34" ht="13.05" customHeight="1" x14ac:dyDescent="0.25">
      <c r="A6" s="80" t="s">
        <v>60</v>
      </c>
      <c r="B6" s="80"/>
      <c r="C6" s="80"/>
      <c r="D6" s="80"/>
    </row>
    <row r="7" spans="1:34" x14ac:dyDescent="0.25">
      <c r="A7" s="78"/>
      <c r="B7" s="78"/>
      <c r="C7" s="78"/>
      <c r="D7" s="78"/>
    </row>
    <row r="8" spans="1:34" ht="13.05" customHeight="1" thickBot="1" x14ac:dyDescent="0.3">
      <c r="A8" s="83" t="s">
        <v>61</v>
      </c>
      <c r="B8" s="83"/>
      <c r="C8" s="83"/>
      <c r="D8" s="83"/>
    </row>
    <row r="9" spans="1:34" ht="7.05" customHeight="1" thickTop="1" x14ac:dyDescent="0.25">
      <c r="A9" s="18"/>
      <c r="B9" s="18"/>
      <c r="C9" s="18"/>
      <c r="D9" s="18"/>
    </row>
    <row r="10" spans="1:34" ht="13.8" x14ac:dyDescent="0.25">
      <c r="A10" s="82" t="s">
        <v>45</v>
      </c>
      <c r="B10" s="82"/>
      <c r="C10" s="82"/>
      <c r="D10" s="82"/>
    </row>
    <row r="11" spans="1:34" x14ac:dyDescent="0.25">
      <c r="A11" s="3" t="s">
        <v>46</v>
      </c>
      <c r="B11" s="87" t="s">
        <v>80</v>
      </c>
      <c r="C11" s="88"/>
      <c r="D11" s="88"/>
    </row>
    <row r="12" spans="1:34" x14ac:dyDescent="0.25">
      <c r="A12" s="16" t="s">
        <v>55</v>
      </c>
      <c r="B12" s="87" t="s">
        <v>81</v>
      </c>
      <c r="C12" s="88"/>
      <c r="D12" s="88"/>
    </row>
    <row r="13" spans="1:34" ht="13.8" x14ac:dyDescent="0.25">
      <c r="A13" s="16" t="s">
        <v>56</v>
      </c>
      <c r="B13" s="87" t="s">
        <v>86</v>
      </c>
      <c r="C13" s="88"/>
      <c r="D13" s="88"/>
    </row>
    <row r="14" spans="1:34" ht="22.5" customHeight="1" thickBot="1" x14ac:dyDescent="0.3">
      <c r="A14" s="15" t="s">
        <v>54</v>
      </c>
    </row>
    <row r="15" spans="1:34" ht="13.8" thickBot="1" x14ac:dyDescent="0.3">
      <c r="A15" s="10" t="s">
        <v>0</v>
      </c>
      <c r="B15" s="11" t="s">
        <v>1</v>
      </c>
      <c r="C15" s="11" t="s">
        <v>2</v>
      </c>
      <c r="D15" s="12" t="s">
        <v>3</v>
      </c>
    </row>
    <row r="16" spans="1:34" ht="31.5" customHeight="1" x14ac:dyDescent="0.25">
      <c r="A16" s="8" t="s">
        <v>4</v>
      </c>
      <c r="B16" s="9"/>
      <c r="C16" s="9"/>
      <c r="D16" s="23"/>
      <c r="AA16" s="34" t="b">
        <v>0</v>
      </c>
      <c r="AB16" s="34" t="b">
        <v>1</v>
      </c>
      <c r="AC16" s="35">
        <f>IF(AA16="","",IF(AA16=TRUE,1,0))</f>
        <v>0</v>
      </c>
      <c r="AD16" s="35">
        <f>IF(AB16="","",IF(AB16=TRUE,0.5,0))</f>
        <v>0.5</v>
      </c>
      <c r="AE16" s="40">
        <f>SUM(AC16:AD16)</f>
        <v>0.5</v>
      </c>
      <c r="AF16" s="37">
        <f>IF(AE16=1,AC16,0)</f>
        <v>0</v>
      </c>
      <c r="AG16" s="37">
        <f>IF(AE16=1,AD16,0)</f>
        <v>0</v>
      </c>
      <c r="AH16" s="36">
        <f>IF(AD16=0,"",IF(AD16=1,2,0))</f>
        <v>0</v>
      </c>
    </row>
    <row r="17" spans="1:34" ht="25.05" customHeight="1" x14ac:dyDescent="0.25">
      <c r="A17" s="5" t="s">
        <v>5</v>
      </c>
      <c r="B17" s="2"/>
      <c r="C17" s="2"/>
      <c r="D17" s="24"/>
      <c r="AA17" s="34" t="b">
        <v>1</v>
      </c>
      <c r="AB17" s="34" t="b">
        <v>0</v>
      </c>
      <c r="AC17" s="35">
        <f t="shared" ref="AC17:AD76" si="0">IF(AA17="","",IF(AA17=TRUE,1,0))</f>
        <v>1</v>
      </c>
      <c r="AD17" s="35">
        <f t="shared" ref="AD17:AD20" si="1">IF(AB17="","",IF(AB17=TRUE,0.5,0))</f>
        <v>0</v>
      </c>
      <c r="AE17" s="35">
        <f t="shared" ref="AE17:AE76" si="2">SUM(AC17:AD17)</f>
        <v>1</v>
      </c>
      <c r="AF17" s="37">
        <f t="shared" ref="AF17:AF76" si="3">IF(AE17=1,AC17,0)</f>
        <v>1</v>
      </c>
      <c r="AG17" s="37">
        <f t="shared" ref="AG17:AG76" si="4">IF(AE17=1,AD17,0)</f>
        <v>0</v>
      </c>
      <c r="AH17" s="36" t="str">
        <f t="shared" ref="AH17:AH20" si="5">IF(AD17=0,"",IF(AD17=1,2,0))</f>
        <v/>
      </c>
    </row>
    <row r="18" spans="1:34" ht="25.05" customHeight="1" x14ac:dyDescent="0.25">
      <c r="A18" s="5" t="s">
        <v>6</v>
      </c>
      <c r="B18" s="2"/>
      <c r="C18" s="2"/>
      <c r="D18" s="24"/>
      <c r="AA18" s="34" t="b">
        <v>1</v>
      </c>
      <c r="AB18" s="34" t="b">
        <v>0</v>
      </c>
      <c r="AC18" s="35">
        <f t="shared" si="0"/>
        <v>1</v>
      </c>
      <c r="AD18" s="35">
        <f t="shared" si="1"/>
        <v>0</v>
      </c>
      <c r="AE18" s="35">
        <f t="shared" si="2"/>
        <v>1</v>
      </c>
      <c r="AF18" s="37">
        <f t="shared" si="3"/>
        <v>1</v>
      </c>
      <c r="AG18" s="37">
        <f t="shared" si="4"/>
        <v>0</v>
      </c>
      <c r="AH18" s="36" t="str">
        <f t="shared" si="5"/>
        <v/>
      </c>
    </row>
    <row r="19" spans="1:34" ht="25.05" customHeight="1" x14ac:dyDescent="0.25">
      <c r="A19" s="32" t="s">
        <v>7</v>
      </c>
      <c r="B19" s="2"/>
      <c r="C19" s="2"/>
      <c r="D19" s="29"/>
      <c r="AA19" s="34" t="b">
        <v>1</v>
      </c>
      <c r="AB19" s="34" t="b">
        <v>0</v>
      </c>
      <c r="AC19" s="35">
        <f t="shared" si="0"/>
        <v>1</v>
      </c>
      <c r="AD19" s="35">
        <f t="shared" si="1"/>
        <v>0</v>
      </c>
      <c r="AE19" s="35">
        <f t="shared" si="2"/>
        <v>1</v>
      </c>
      <c r="AF19" s="37">
        <f t="shared" si="3"/>
        <v>1</v>
      </c>
      <c r="AG19" s="37">
        <f t="shared" si="4"/>
        <v>0</v>
      </c>
      <c r="AH19" s="36" t="str">
        <f t="shared" si="5"/>
        <v/>
      </c>
    </row>
    <row r="20" spans="1:34" ht="25.05" customHeight="1" thickBot="1" x14ac:dyDescent="0.3">
      <c r="A20" s="31"/>
      <c r="B20" s="7"/>
      <c r="C20" s="7"/>
      <c r="D20" s="25"/>
      <c r="AA20" s="34" t="b">
        <v>0</v>
      </c>
      <c r="AB20" s="34" t="b">
        <v>0</v>
      </c>
      <c r="AC20" s="35">
        <f t="shared" si="0"/>
        <v>0</v>
      </c>
      <c r="AD20" s="35">
        <f t="shared" si="1"/>
        <v>0</v>
      </c>
      <c r="AE20" s="35">
        <f t="shared" si="2"/>
        <v>0</v>
      </c>
      <c r="AF20" s="37">
        <f t="shared" si="3"/>
        <v>0</v>
      </c>
      <c r="AG20" s="37">
        <f t="shared" si="4"/>
        <v>0</v>
      </c>
      <c r="AH20" s="36" t="str">
        <f t="shared" si="5"/>
        <v/>
      </c>
    </row>
    <row r="21" spans="1:34" ht="21.6" customHeight="1" thickBot="1" x14ac:dyDescent="0.3">
      <c r="A21" s="15" t="s">
        <v>53</v>
      </c>
      <c r="B21" s="18">
        <f>AF21</f>
        <v>3</v>
      </c>
      <c r="C21" s="18">
        <f>AG21</f>
        <v>0</v>
      </c>
      <c r="AC21" s="35" t="str">
        <f t="shared" si="0"/>
        <v/>
      </c>
      <c r="AD21" s="35" t="str">
        <f t="shared" si="0"/>
        <v/>
      </c>
      <c r="AF21" s="38">
        <f>SUM(AF16:AF20)</f>
        <v>3</v>
      </c>
      <c r="AG21" s="38">
        <f>SUM(AG16:AG20)</f>
        <v>0</v>
      </c>
    </row>
    <row r="22" spans="1:34" ht="21.6" customHeight="1" thickBot="1" x14ac:dyDescent="0.3">
      <c r="A22" s="10" t="s">
        <v>0</v>
      </c>
      <c r="B22" s="11" t="s">
        <v>1</v>
      </c>
      <c r="C22" s="14" t="s">
        <v>2</v>
      </c>
      <c r="D22" s="12" t="s">
        <v>3</v>
      </c>
      <c r="AC22" s="35" t="str">
        <f t="shared" si="0"/>
        <v/>
      </c>
      <c r="AD22" s="35" t="str">
        <f t="shared" si="0"/>
        <v/>
      </c>
      <c r="AF22" s="37"/>
      <c r="AG22" s="37"/>
    </row>
    <row r="23" spans="1:34" ht="21.6" customHeight="1" x14ac:dyDescent="0.25">
      <c r="A23" s="13" t="s">
        <v>8</v>
      </c>
      <c r="B23" s="2"/>
      <c r="C23" s="2"/>
      <c r="D23" s="26"/>
      <c r="AA23" s="34" t="b">
        <v>0</v>
      </c>
      <c r="AB23" s="34" t="b">
        <v>1</v>
      </c>
      <c r="AC23" s="35">
        <f t="shared" si="0"/>
        <v>0</v>
      </c>
      <c r="AD23" s="35">
        <f>IF(AB23="","",IF(AB23=TRUE,0.5,0))</f>
        <v>0.5</v>
      </c>
      <c r="AE23" s="35">
        <f t="shared" si="2"/>
        <v>0.5</v>
      </c>
      <c r="AF23" s="37">
        <f t="shared" si="3"/>
        <v>0</v>
      </c>
      <c r="AG23" s="37">
        <f t="shared" si="4"/>
        <v>0</v>
      </c>
      <c r="AH23" s="36">
        <f>IF(AD23=0,"",IF(AD23=1,2,0))</f>
        <v>0</v>
      </c>
    </row>
    <row r="24" spans="1:34" ht="21.6" customHeight="1" x14ac:dyDescent="0.25">
      <c r="A24" s="5" t="s">
        <v>9</v>
      </c>
      <c r="B24" s="2"/>
      <c r="C24" s="2"/>
      <c r="D24" s="27"/>
      <c r="AA24" s="34" t="b">
        <v>0</v>
      </c>
      <c r="AB24" s="34" t="b">
        <v>1</v>
      </c>
      <c r="AC24" s="35">
        <f t="shared" si="0"/>
        <v>0</v>
      </c>
      <c r="AD24" s="35">
        <f t="shared" ref="AD24:AD27" si="6">IF(AB24="","",IF(AB24=TRUE,0.5,0))</f>
        <v>0.5</v>
      </c>
      <c r="AE24" s="35">
        <f t="shared" si="2"/>
        <v>0.5</v>
      </c>
      <c r="AF24" s="37">
        <f t="shared" si="3"/>
        <v>0</v>
      </c>
      <c r="AG24" s="37">
        <f t="shared" si="4"/>
        <v>0</v>
      </c>
      <c r="AH24" s="36">
        <f t="shared" ref="AH24:AH27" si="7">IF(AD24=0,"",IF(AD24=1,2,0))</f>
        <v>0</v>
      </c>
    </row>
    <row r="25" spans="1:34" ht="21.6" customHeight="1" x14ac:dyDescent="0.25">
      <c r="A25" s="5" t="s">
        <v>10</v>
      </c>
      <c r="B25" s="2"/>
      <c r="C25" s="2"/>
      <c r="D25" s="27"/>
      <c r="AA25" s="34" t="b">
        <v>0</v>
      </c>
      <c r="AB25" s="34" t="b">
        <v>1</v>
      </c>
      <c r="AC25" s="35">
        <f t="shared" si="0"/>
        <v>0</v>
      </c>
      <c r="AD25" s="35">
        <f t="shared" si="6"/>
        <v>0.5</v>
      </c>
      <c r="AE25" s="35">
        <f t="shared" si="2"/>
        <v>0.5</v>
      </c>
      <c r="AF25" s="37">
        <f t="shared" si="3"/>
        <v>0</v>
      </c>
      <c r="AG25" s="37">
        <f t="shared" si="4"/>
        <v>0</v>
      </c>
      <c r="AH25" s="36">
        <f t="shared" si="7"/>
        <v>0</v>
      </c>
    </row>
    <row r="26" spans="1:34" ht="21.6" customHeight="1" x14ac:dyDescent="0.25">
      <c r="A26" s="32" t="s">
        <v>11</v>
      </c>
      <c r="B26" s="2"/>
      <c r="C26" s="2"/>
      <c r="D26" s="30"/>
      <c r="AA26" s="34" t="b">
        <v>0</v>
      </c>
      <c r="AB26" s="34" t="b">
        <v>1</v>
      </c>
      <c r="AC26" s="35">
        <f t="shared" si="0"/>
        <v>0</v>
      </c>
      <c r="AD26" s="35">
        <f t="shared" si="6"/>
        <v>0.5</v>
      </c>
      <c r="AE26" s="35">
        <f t="shared" si="2"/>
        <v>0.5</v>
      </c>
      <c r="AF26" s="37">
        <f t="shared" si="3"/>
        <v>0</v>
      </c>
      <c r="AG26" s="37">
        <f t="shared" si="4"/>
        <v>0</v>
      </c>
      <c r="AH26" s="36">
        <f t="shared" si="7"/>
        <v>0</v>
      </c>
    </row>
    <row r="27" spans="1:34" ht="21.6" customHeight="1" thickBot="1" x14ac:dyDescent="0.3">
      <c r="A27" s="31"/>
      <c r="B27" s="7"/>
      <c r="C27" s="7"/>
      <c r="D27" s="28"/>
      <c r="AA27" s="34" t="b">
        <v>0</v>
      </c>
      <c r="AB27" s="34" t="b">
        <v>0</v>
      </c>
      <c r="AC27" s="35">
        <f t="shared" si="0"/>
        <v>0</v>
      </c>
      <c r="AD27" s="35">
        <f t="shared" si="6"/>
        <v>0</v>
      </c>
      <c r="AE27" s="35">
        <f t="shared" si="2"/>
        <v>0</v>
      </c>
      <c r="AF27" s="37">
        <f t="shared" si="3"/>
        <v>0</v>
      </c>
      <c r="AG27" s="37">
        <f t="shared" si="4"/>
        <v>0</v>
      </c>
      <c r="AH27" s="36" t="str">
        <f t="shared" si="7"/>
        <v/>
      </c>
    </row>
    <row r="28" spans="1:34" ht="21.6" customHeight="1" thickBot="1" x14ac:dyDescent="0.3">
      <c r="A28" s="15" t="s">
        <v>52</v>
      </c>
      <c r="B28" s="18">
        <f>AF28</f>
        <v>0</v>
      </c>
      <c r="C28" s="18">
        <f>AG28</f>
        <v>0</v>
      </c>
      <c r="AC28" s="35" t="str">
        <f t="shared" si="0"/>
        <v/>
      </c>
      <c r="AD28" s="35" t="str">
        <f t="shared" si="0"/>
        <v/>
      </c>
      <c r="AF28" s="38">
        <f>SUM(AF23:AF27)</f>
        <v>0</v>
      </c>
      <c r="AG28" s="38">
        <f>SUM(AG23:AG27)</f>
        <v>0</v>
      </c>
    </row>
    <row r="29" spans="1:34" ht="21.6" customHeight="1" thickBot="1" x14ac:dyDescent="0.3">
      <c r="A29" s="10" t="s">
        <v>0</v>
      </c>
      <c r="B29" s="11" t="s">
        <v>1</v>
      </c>
      <c r="C29" s="14" t="s">
        <v>2</v>
      </c>
      <c r="D29" s="12" t="s">
        <v>3</v>
      </c>
      <c r="AC29" s="35" t="str">
        <f t="shared" si="0"/>
        <v/>
      </c>
      <c r="AD29" s="35" t="str">
        <f t="shared" si="0"/>
        <v/>
      </c>
      <c r="AF29" s="37"/>
      <c r="AG29" s="37"/>
    </row>
    <row r="30" spans="1:34" ht="21.6" customHeight="1" x14ac:dyDescent="0.25">
      <c r="A30" s="13" t="s">
        <v>12</v>
      </c>
      <c r="B30" s="2"/>
      <c r="C30" s="2"/>
      <c r="D30" s="26"/>
      <c r="AA30" s="34" t="b">
        <v>1</v>
      </c>
      <c r="AB30" s="34" t="b">
        <v>0</v>
      </c>
      <c r="AC30" s="35">
        <f t="shared" si="0"/>
        <v>1</v>
      </c>
      <c r="AD30" s="35">
        <f>IF(AB30="","",IF(AB30=TRUE,0.5,0))</f>
        <v>0</v>
      </c>
      <c r="AE30" s="35">
        <f t="shared" si="2"/>
        <v>1</v>
      </c>
      <c r="AF30" s="37">
        <f t="shared" si="3"/>
        <v>1</v>
      </c>
      <c r="AG30" s="37">
        <f t="shared" si="4"/>
        <v>0</v>
      </c>
      <c r="AH30" s="36" t="str">
        <f>IF(AD30=0,"",IF(AD30=1,2,0))</f>
        <v/>
      </c>
    </row>
    <row r="31" spans="1:34" ht="21.6" customHeight="1" x14ac:dyDescent="0.25">
      <c r="A31" s="5" t="s">
        <v>13</v>
      </c>
      <c r="B31" s="2"/>
      <c r="C31" s="2"/>
      <c r="D31" s="27"/>
      <c r="AA31" s="34" t="b">
        <v>1</v>
      </c>
      <c r="AB31" s="34" t="b">
        <v>0</v>
      </c>
      <c r="AC31" s="35">
        <f t="shared" si="0"/>
        <v>1</v>
      </c>
      <c r="AD31" s="35">
        <f t="shared" ref="AD31:AD34" si="8">IF(AB31="","",IF(AB31=TRUE,0.5,0))</f>
        <v>0</v>
      </c>
      <c r="AE31" s="35">
        <f t="shared" si="2"/>
        <v>1</v>
      </c>
      <c r="AF31" s="37">
        <f t="shared" si="3"/>
        <v>1</v>
      </c>
      <c r="AG31" s="37">
        <f t="shared" si="4"/>
        <v>0</v>
      </c>
      <c r="AH31" s="36" t="str">
        <f t="shared" ref="AH31:AH34" si="9">IF(AD31=0,"",IF(AD31=1,2,0))</f>
        <v/>
      </c>
    </row>
    <row r="32" spans="1:34" ht="21.6" customHeight="1" x14ac:dyDescent="0.25">
      <c r="A32" s="5" t="s">
        <v>14</v>
      </c>
      <c r="B32" s="2"/>
      <c r="C32" s="2"/>
      <c r="D32" s="27"/>
      <c r="AA32" s="34" t="b">
        <v>1</v>
      </c>
      <c r="AB32" s="34" t="b">
        <v>0</v>
      </c>
      <c r="AC32" s="35">
        <f t="shared" si="0"/>
        <v>1</v>
      </c>
      <c r="AD32" s="35">
        <f t="shared" si="8"/>
        <v>0</v>
      </c>
      <c r="AE32" s="35">
        <f t="shared" si="2"/>
        <v>1</v>
      </c>
      <c r="AF32" s="37">
        <f t="shared" si="3"/>
        <v>1</v>
      </c>
      <c r="AG32" s="37">
        <f t="shared" si="4"/>
        <v>0</v>
      </c>
      <c r="AH32" s="36" t="str">
        <f t="shared" si="9"/>
        <v/>
      </c>
    </row>
    <row r="33" spans="1:34" ht="21.6" customHeight="1" x14ac:dyDescent="0.25">
      <c r="A33" s="32" t="s">
        <v>15</v>
      </c>
      <c r="B33" s="2"/>
      <c r="C33" s="2"/>
      <c r="D33" s="30"/>
      <c r="AA33" s="34" t="b">
        <v>1</v>
      </c>
      <c r="AB33" s="34" t="b">
        <v>0</v>
      </c>
      <c r="AC33" s="35">
        <f t="shared" si="0"/>
        <v>1</v>
      </c>
      <c r="AD33" s="35">
        <f t="shared" si="8"/>
        <v>0</v>
      </c>
      <c r="AE33" s="35">
        <f t="shared" si="2"/>
        <v>1</v>
      </c>
      <c r="AF33" s="37">
        <f t="shared" si="3"/>
        <v>1</v>
      </c>
      <c r="AG33" s="37">
        <f t="shared" si="4"/>
        <v>0</v>
      </c>
      <c r="AH33" s="36" t="str">
        <f t="shared" si="9"/>
        <v/>
      </c>
    </row>
    <row r="34" spans="1:34" ht="21.6" customHeight="1" thickBot="1" x14ac:dyDescent="0.3">
      <c r="A34" s="31"/>
      <c r="B34" s="7"/>
      <c r="C34" s="7"/>
      <c r="D34" s="28"/>
      <c r="AA34" s="34" t="b">
        <v>0</v>
      </c>
      <c r="AB34" s="34" t="b">
        <v>0</v>
      </c>
      <c r="AC34" s="35">
        <f t="shared" si="0"/>
        <v>0</v>
      </c>
      <c r="AD34" s="35">
        <f t="shared" si="8"/>
        <v>0</v>
      </c>
      <c r="AE34" s="35">
        <f t="shared" si="2"/>
        <v>0</v>
      </c>
      <c r="AF34" s="37">
        <f t="shared" si="3"/>
        <v>0</v>
      </c>
      <c r="AG34" s="37">
        <f t="shared" si="4"/>
        <v>0</v>
      </c>
      <c r="AH34" s="36" t="str">
        <f t="shared" si="9"/>
        <v/>
      </c>
    </row>
    <row r="35" spans="1:34" ht="21.6" customHeight="1" thickBot="1" x14ac:dyDescent="0.3">
      <c r="A35" s="15" t="s">
        <v>51</v>
      </c>
      <c r="B35" s="18">
        <f>AF35</f>
        <v>4</v>
      </c>
      <c r="C35" s="18">
        <f>AG35</f>
        <v>0</v>
      </c>
      <c r="AC35" s="35" t="str">
        <f t="shared" si="0"/>
        <v/>
      </c>
      <c r="AD35" s="35" t="str">
        <f t="shared" si="0"/>
        <v/>
      </c>
      <c r="AF35" s="38">
        <f>SUM(AF30:AF34)</f>
        <v>4</v>
      </c>
      <c r="AG35" s="38">
        <f>SUM(AG30:AG34)</f>
        <v>0</v>
      </c>
    </row>
    <row r="36" spans="1:34" ht="21.6" customHeight="1" thickBot="1" x14ac:dyDescent="0.3">
      <c r="A36" s="10" t="s">
        <v>0</v>
      </c>
      <c r="B36" s="11" t="s">
        <v>1</v>
      </c>
      <c r="C36" s="14" t="s">
        <v>2</v>
      </c>
      <c r="D36" s="12" t="s">
        <v>3</v>
      </c>
      <c r="AC36" s="35" t="str">
        <f t="shared" si="0"/>
        <v/>
      </c>
      <c r="AD36" s="35" t="str">
        <f t="shared" si="0"/>
        <v/>
      </c>
      <c r="AF36" s="37"/>
      <c r="AG36" s="37"/>
    </row>
    <row r="37" spans="1:34" ht="21.6" customHeight="1" x14ac:dyDescent="0.25">
      <c r="A37" s="13" t="s">
        <v>16</v>
      </c>
      <c r="B37" s="2"/>
      <c r="C37" s="2"/>
      <c r="D37" s="26"/>
      <c r="AA37" s="34" t="b">
        <v>0</v>
      </c>
      <c r="AB37" s="34" t="b">
        <v>1</v>
      </c>
      <c r="AC37" s="35">
        <f t="shared" si="0"/>
        <v>0</v>
      </c>
      <c r="AD37" s="35">
        <f>IF(AB37="","",IF(AB37=TRUE,0.5,0))</f>
        <v>0.5</v>
      </c>
      <c r="AE37" s="35">
        <f t="shared" si="2"/>
        <v>0.5</v>
      </c>
      <c r="AF37" s="37">
        <f t="shared" si="3"/>
        <v>0</v>
      </c>
      <c r="AG37" s="37">
        <f t="shared" si="4"/>
        <v>0</v>
      </c>
      <c r="AH37" s="36">
        <f>IF(AD37=0,"",IF(AD37=1,2,0))</f>
        <v>0</v>
      </c>
    </row>
    <row r="38" spans="1:34" ht="21.6" customHeight="1" x14ac:dyDescent="0.25">
      <c r="A38" s="5" t="s">
        <v>17</v>
      </c>
      <c r="B38" s="2"/>
      <c r="C38" s="2"/>
      <c r="D38" s="27"/>
      <c r="AA38" s="34" t="b">
        <v>1</v>
      </c>
      <c r="AB38" s="34" t="b">
        <v>0</v>
      </c>
      <c r="AC38" s="35">
        <f t="shared" si="0"/>
        <v>1</v>
      </c>
      <c r="AD38" s="35">
        <f t="shared" ref="AD38:AD41" si="10">IF(AB38="","",IF(AB38=TRUE,0.5,0))</f>
        <v>0</v>
      </c>
      <c r="AE38" s="35">
        <f t="shared" si="2"/>
        <v>1</v>
      </c>
      <c r="AF38" s="37">
        <f t="shared" si="3"/>
        <v>1</v>
      </c>
      <c r="AG38" s="37">
        <f t="shared" si="4"/>
        <v>0</v>
      </c>
      <c r="AH38" s="36" t="str">
        <f t="shared" ref="AH38:AH41" si="11">IF(AD38=0,"",IF(AD38=1,2,0))</f>
        <v/>
      </c>
    </row>
    <row r="39" spans="1:34" ht="27" customHeight="1" x14ac:dyDescent="0.25">
      <c r="A39" s="5" t="s">
        <v>18</v>
      </c>
      <c r="B39" s="2"/>
      <c r="C39" s="2"/>
      <c r="D39" s="27"/>
      <c r="AA39" s="34" t="b">
        <v>1</v>
      </c>
      <c r="AB39" s="34" t="b">
        <v>0</v>
      </c>
      <c r="AC39" s="35">
        <f t="shared" si="0"/>
        <v>1</v>
      </c>
      <c r="AD39" s="35">
        <f t="shared" si="10"/>
        <v>0</v>
      </c>
      <c r="AE39" s="35">
        <f t="shared" si="2"/>
        <v>1</v>
      </c>
      <c r="AF39" s="37">
        <f t="shared" si="3"/>
        <v>1</v>
      </c>
      <c r="AG39" s="37">
        <f t="shared" si="4"/>
        <v>0</v>
      </c>
      <c r="AH39" s="36" t="str">
        <f t="shared" si="11"/>
        <v/>
      </c>
    </row>
    <row r="40" spans="1:34" ht="21.6" customHeight="1" x14ac:dyDescent="0.25">
      <c r="A40" s="32" t="s">
        <v>19</v>
      </c>
      <c r="B40" s="2"/>
      <c r="C40" s="2"/>
      <c r="D40" s="30"/>
      <c r="AA40" s="34" t="b">
        <v>1</v>
      </c>
      <c r="AB40" s="34" t="b">
        <v>0</v>
      </c>
      <c r="AC40" s="35">
        <f t="shared" si="0"/>
        <v>1</v>
      </c>
      <c r="AD40" s="35">
        <f t="shared" si="10"/>
        <v>0</v>
      </c>
      <c r="AE40" s="35">
        <f t="shared" si="2"/>
        <v>1</v>
      </c>
      <c r="AF40" s="37">
        <f t="shared" si="3"/>
        <v>1</v>
      </c>
      <c r="AG40" s="37">
        <f t="shared" si="4"/>
        <v>0</v>
      </c>
      <c r="AH40" s="36" t="str">
        <f t="shared" si="11"/>
        <v/>
      </c>
    </row>
    <row r="41" spans="1:34" ht="21.6" customHeight="1" thickBot="1" x14ac:dyDescent="0.3">
      <c r="A41" s="31"/>
      <c r="B41" s="7"/>
      <c r="C41" s="7"/>
      <c r="D41" s="28"/>
      <c r="AA41" s="34" t="b">
        <v>0</v>
      </c>
      <c r="AB41" s="34" t="b">
        <v>0</v>
      </c>
      <c r="AC41" s="35">
        <f t="shared" si="0"/>
        <v>0</v>
      </c>
      <c r="AD41" s="35">
        <f t="shared" si="10"/>
        <v>0</v>
      </c>
      <c r="AE41" s="35">
        <f t="shared" si="2"/>
        <v>0</v>
      </c>
      <c r="AF41" s="37">
        <f t="shared" si="3"/>
        <v>0</v>
      </c>
      <c r="AG41" s="37">
        <f t="shared" si="4"/>
        <v>0</v>
      </c>
      <c r="AH41" s="36" t="str">
        <f t="shared" si="11"/>
        <v/>
      </c>
    </row>
    <row r="42" spans="1:34" ht="21.6" customHeight="1" thickBot="1" x14ac:dyDescent="0.3">
      <c r="A42" s="17" t="s">
        <v>58</v>
      </c>
      <c r="B42" s="18">
        <f>AF42</f>
        <v>3</v>
      </c>
      <c r="C42" s="18">
        <f>AG42</f>
        <v>0</v>
      </c>
      <c r="AC42" s="35" t="str">
        <f t="shared" si="0"/>
        <v/>
      </c>
      <c r="AD42" s="35" t="str">
        <f t="shared" si="0"/>
        <v/>
      </c>
      <c r="AF42" s="38">
        <f>SUM(AF37:AF41)</f>
        <v>3</v>
      </c>
      <c r="AG42" s="38">
        <f>SUM(AG37:AG41)</f>
        <v>0</v>
      </c>
    </row>
    <row r="43" spans="1:34" ht="21.6" customHeight="1" thickBot="1" x14ac:dyDescent="0.3">
      <c r="A43" s="10" t="s">
        <v>0</v>
      </c>
      <c r="B43" s="11" t="s">
        <v>1</v>
      </c>
      <c r="C43" s="14" t="s">
        <v>2</v>
      </c>
      <c r="D43" s="12" t="s">
        <v>3</v>
      </c>
      <c r="AC43" s="35" t="str">
        <f t="shared" si="0"/>
        <v/>
      </c>
      <c r="AD43" s="35" t="str">
        <f t="shared" si="0"/>
        <v/>
      </c>
      <c r="AF43" s="37"/>
      <c r="AG43" s="37"/>
    </row>
    <row r="44" spans="1:34" ht="21.6" customHeight="1" x14ac:dyDescent="0.25">
      <c r="A44" s="13" t="s">
        <v>20</v>
      </c>
      <c r="B44" s="2"/>
      <c r="C44" s="2"/>
      <c r="D44" s="26"/>
      <c r="AA44" s="34" t="b">
        <v>0</v>
      </c>
      <c r="AB44" s="34" t="b">
        <v>1</v>
      </c>
      <c r="AC44" s="35">
        <f t="shared" si="0"/>
        <v>0</v>
      </c>
      <c r="AD44" s="35">
        <f>IF(AB44="","",IF(AB44=TRUE,0.5,0))</f>
        <v>0.5</v>
      </c>
      <c r="AE44" s="35">
        <f t="shared" si="2"/>
        <v>0.5</v>
      </c>
      <c r="AF44" s="37">
        <f t="shared" si="3"/>
        <v>0</v>
      </c>
      <c r="AG44" s="37">
        <f t="shared" si="4"/>
        <v>0</v>
      </c>
      <c r="AH44" s="36">
        <f>IF(AD44=0,"",IF(AD44=1,2,0))</f>
        <v>0</v>
      </c>
    </row>
    <row r="45" spans="1:34" ht="21.6" customHeight="1" x14ac:dyDescent="0.25">
      <c r="A45" s="5" t="s">
        <v>21</v>
      </c>
      <c r="B45" s="2"/>
      <c r="C45" s="2"/>
      <c r="D45" s="27"/>
      <c r="AA45" s="34" t="b">
        <v>0</v>
      </c>
      <c r="AB45" s="34" t="b">
        <v>1</v>
      </c>
      <c r="AC45" s="35">
        <f t="shared" si="0"/>
        <v>0</v>
      </c>
      <c r="AD45" s="35">
        <f t="shared" ref="AD45:AD48" si="12">IF(AB45="","",IF(AB45=TRUE,0.5,0))</f>
        <v>0.5</v>
      </c>
      <c r="AE45" s="35">
        <f t="shared" si="2"/>
        <v>0.5</v>
      </c>
      <c r="AF45" s="37">
        <f t="shared" si="3"/>
        <v>0</v>
      </c>
      <c r="AG45" s="37">
        <f t="shared" si="4"/>
        <v>0</v>
      </c>
      <c r="AH45" s="36">
        <f t="shared" ref="AH45:AH48" si="13">IF(AD45=0,"",IF(AD45=1,2,0))</f>
        <v>0</v>
      </c>
    </row>
    <row r="46" spans="1:34" ht="21.6" customHeight="1" x14ac:dyDescent="0.25">
      <c r="A46" s="5" t="s">
        <v>22</v>
      </c>
      <c r="B46" s="2"/>
      <c r="C46" s="2"/>
      <c r="D46" s="27"/>
      <c r="AA46" s="34" t="b">
        <v>1</v>
      </c>
      <c r="AB46" s="34" t="b">
        <v>0</v>
      </c>
      <c r="AC46" s="35">
        <f t="shared" si="0"/>
        <v>1</v>
      </c>
      <c r="AD46" s="35">
        <f t="shared" si="12"/>
        <v>0</v>
      </c>
      <c r="AE46" s="35">
        <f t="shared" si="2"/>
        <v>1</v>
      </c>
      <c r="AF46" s="37">
        <f t="shared" si="3"/>
        <v>1</v>
      </c>
      <c r="AG46" s="37">
        <f t="shared" si="4"/>
        <v>0</v>
      </c>
      <c r="AH46" s="36" t="str">
        <f t="shared" si="13"/>
        <v/>
      </c>
    </row>
    <row r="47" spans="1:34" ht="21.6" customHeight="1" x14ac:dyDescent="0.25">
      <c r="A47" s="32" t="s">
        <v>23</v>
      </c>
      <c r="B47" s="2"/>
      <c r="C47" s="2"/>
      <c r="D47" s="30"/>
      <c r="AA47" s="34" t="b">
        <v>0</v>
      </c>
      <c r="AB47" s="34" t="b">
        <v>1</v>
      </c>
      <c r="AC47" s="35">
        <f t="shared" si="0"/>
        <v>0</v>
      </c>
      <c r="AD47" s="35">
        <f t="shared" si="12"/>
        <v>0.5</v>
      </c>
      <c r="AE47" s="35">
        <f t="shared" si="2"/>
        <v>0.5</v>
      </c>
      <c r="AF47" s="37">
        <f t="shared" si="3"/>
        <v>0</v>
      </c>
      <c r="AG47" s="37">
        <f t="shared" si="4"/>
        <v>0</v>
      </c>
      <c r="AH47" s="36">
        <f t="shared" si="13"/>
        <v>0</v>
      </c>
    </row>
    <row r="48" spans="1:34" ht="21.6" customHeight="1" thickBot="1" x14ac:dyDescent="0.3">
      <c r="A48" s="31"/>
      <c r="B48" s="7"/>
      <c r="C48" s="7"/>
      <c r="D48" s="28"/>
      <c r="AA48" s="34" t="b">
        <v>0</v>
      </c>
      <c r="AB48" s="34" t="b">
        <v>0</v>
      </c>
      <c r="AC48" s="35">
        <f t="shared" si="0"/>
        <v>0</v>
      </c>
      <c r="AD48" s="35">
        <f t="shared" si="12"/>
        <v>0</v>
      </c>
      <c r="AE48" s="35">
        <f t="shared" si="2"/>
        <v>0</v>
      </c>
      <c r="AF48" s="37">
        <f t="shared" si="3"/>
        <v>0</v>
      </c>
      <c r="AG48" s="37">
        <f t="shared" si="4"/>
        <v>0</v>
      </c>
      <c r="AH48" s="36" t="str">
        <f t="shared" si="13"/>
        <v/>
      </c>
    </row>
    <row r="49" spans="1:34" ht="21.6" customHeight="1" thickBot="1" x14ac:dyDescent="0.3">
      <c r="A49" s="17" t="s">
        <v>57</v>
      </c>
      <c r="B49" s="18">
        <f>AF49</f>
        <v>1</v>
      </c>
      <c r="C49" s="18">
        <f>AG49</f>
        <v>0</v>
      </c>
      <c r="AC49" s="35" t="str">
        <f t="shared" si="0"/>
        <v/>
      </c>
      <c r="AD49" s="35" t="str">
        <f t="shared" si="0"/>
        <v/>
      </c>
      <c r="AF49" s="38">
        <f>SUM(AF44:AF48)</f>
        <v>1</v>
      </c>
      <c r="AG49" s="38">
        <f>SUM(AG44:AG48)</f>
        <v>0</v>
      </c>
    </row>
    <row r="50" spans="1:34" ht="21.6" customHeight="1" thickBot="1" x14ac:dyDescent="0.3">
      <c r="A50" s="10" t="s">
        <v>0</v>
      </c>
      <c r="B50" s="11" t="s">
        <v>1</v>
      </c>
      <c r="C50" s="14" t="s">
        <v>2</v>
      </c>
      <c r="D50" s="12" t="s">
        <v>3</v>
      </c>
      <c r="AC50" s="35" t="str">
        <f t="shared" si="0"/>
        <v/>
      </c>
      <c r="AD50" s="35" t="str">
        <f t="shared" si="0"/>
        <v/>
      </c>
      <c r="AF50" s="37"/>
      <c r="AG50" s="37"/>
    </row>
    <row r="51" spans="1:34" ht="21.6" customHeight="1" x14ac:dyDescent="0.25">
      <c r="A51" s="13" t="s">
        <v>24</v>
      </c>
      <c r="B51" s="2"/>
      <c r="C51" s="2"/>
      <c r="D51" s="26"/>
      <c r="AA51" s="34" t="b">
        <v>1</v>
      </c>
      <c r="AB51" s="34" t="b">
        <v>0</v>
      </c>
      <c r="AC51" s="35">
        <f t="shared" si="0"/>
        <v>1</v>
      </c>
      <c r="AD51" s="35">
        <f>IF(AB51="","",IF(AB51=TRUE,0.5,0))</f>
        <v>0</v>
      </c>
      <c r="AE51" s="35">
        <f t="shared" si="2"/>
        <v>1</v>
      </c>
      <c r="AF51" s="37">
        <f t="shared" si="3"/>
        <v>1</v>
      </c>
      <c r="AG51" s="37">
        <f t="shared" si="4"/>
        <v>0</v>
      </c>
      <c r="AH51" s="36" t="str">
        <f>IF(AD51=0,"",IF(AD51=1,2,0))</f>
        <v/>
      </c>
    </row>
    <row r="52" spans="1:34" ht="21.6" customHeight="1" x14ac:dyDescent="0.25">
      <c r="A52" s="5" t="s">
        <v>25</v>
      </c>
      <c r="B52" s="2"/>
      <c r="C52" s="2"/>
      <c r="D52" s="27"/>
      <c r="AA52" s="34" t="b">
        <v>1</v>
      </c>
      <c r="AB52" s="34" t="b">
        <v>0</v>
      </c>
      <c r="AC52" s="35">
        <f t="shared" si="0"/>
        <v>1</v>
      </c>
      <c r="AD52" s="35">
        <f t="shared" ref="AD52:AD55" si="14">IF(AB52="","",IF(AB52=TRUE,0.5,0))</f>
        <v>0</v>
      </c>
      <c r="AE52" s="35">
        <f t="shared" si="2"/>
        <v>1</v>
      </c>
      <c r="AF52" s="37">
        <f t="shared" si="3"/>
        <v>1</v>
      </c>
      <c r="AG52" s="37">
        <f t="shared" si="4"/>
        <v>0</v>
      </c>
      <c r="AH52" s="36" t="str">
        <f t="shared" ref="AH52:AH55" si="15">IF(AD52=0,"",IF(AD52=1,2,0))</f>
        <v/>
      </c>
    </row>
    <row r="53" spans="1:34" ht="28.5" customHeight="1" x14ac:dyDescent="0.25">
      <c r="A53" s="5" t="s">
        <v>26</v>
      </c>
      <c r="B53" s="2"/>
      <c r="C53" s="2"/>
      <c r="D53" s="27"/>
      <c r="AA53" s="34" t="b">
        <v>1</v>
      </c>
      <c r="AB53" s="34" t="b">
        <v>0</v>
      </c>
      <c r="AC53" s="35">
        <f t="shared" si="0"/>
        <v>1</v>
      </c>
      <c r="AD53" s="35">
        <f t="shared" si="14"/>
        <v>0</v>
      </c>
      <c r="AE53" s="35">
        <f t="shared" si="2"/>
        <v>1</v>
      </c>
      <c r="AF53" s="37">
        <f t="shared" si="3"/>
        <v>1</v>
      </c>
      <c r="AG53" s="37">
        <f t="shared" si="4"/>
        <v>0</v>
      </c>
      <c r="AH53" s="36" t="str">
        <f t="shared" si="15"/>
        <v/>
      </c>
    </row>
    <row r="54" spans="1:34" ht="21.6" customHeight="1" x14ac:dyDescent="0.25">
      <c r="A54" s="5" t="s">
        <v>27</v>
      </c>
      <c r="B54" s="2"/>
      <c r="C54" s="2"/>
      <c r="D54" s="27"/>
      <c r="AA54" s="34" t="b">
        <v>1</v>
      </c>
      <c r="AB54" s="34" t="b">
        <v>0</v>
      </c>
      <c r="AC54" s="35">
        <f t="shared" si="0"/>
        <v>1</v>
      </c>
      <c r="AD54" s="35">
        <f t="shared" si="14"/>
        <v>0</v>
      </c>
      <c r="AE54" s="35">
        <f t="shared" si="2"/>
        <v>1</v>
      </c>
      <c r="AF54" s="37">
        <f t="shared" si="3"/>
        <v>1</v>
      </c>
      <c r="AG54" s="37">
        <f t="shared" si="4"/>
        <v>0</v>
      </c>
      <c r="AH54" s="36" t="str">
        <f t="shared" si="15"/>
        <v/>
      </c>
    </row>
    <row r="55" spans="1:34" ht="21.6" customHeight="1" thickBot="1" x14ac:dyDescent="0.3">
      <c r="A55" s="6" t="s">
        <v>28</v>
      </c>
      <c r="B55" s="7"/>
      <c r="C55" s="7"/>
      <c r="D55" s="28"/>
      <c r="AA55" s="34" t="b">
        <v>1</v>
      </c>
      <c r="AB55" s="34" t="b">
        <v>0</v>
      </c>
      <c r="AC55" s="35">
        <f t="shared" si="0"/>
        <v>1</v>
      </c>
      <c r="AD55" s="35">
        <f t="shared" si="14"/>
        <v>0</v>
      </c>
      <c r="AE55" s="35">
        <f t="shared" si="2"/>
        <v>1</v>
      </c>
      <c r="AF55" s="37">
        <f t="shared" si="3"/>
        <v>1</v>
      </c>
      <c r="AG55" s="37">
        <f t="shared" si="4"/>
        <v>0</v>
      </c>
      <c r="AH55" s="36" t="str">
        <f t="shared" si="15"/>
        <v/>
      </c>
    </row>
    <row r="56" spans="1:34" ht="21.6" customHeight="1" thickBot="1" x14ac:dyDescent="0.3">
      <c r="A56" s="15" t="s">
        <v>47</v>
      </c>
      <c r="B56" s="18">
        <f>AF56</f>
        <v>5</v>
      </c>
      <c r="C56" s="18">
        <f>AG56</f>
        <v>0</v>
      </c>
      <c r="AC56" s="35" t="str">
        <f t="shared" si="0"/>
        <v/>
      </c>
      <c r="AD56" s="35" t="str">
        <f t="shared" si="0"/>
        <v/>
      </c>
      <c r="AF56" s="38">
        <f>SUM(AF51:AF55)</f>
        <v>5</v>
      </c>
      <c r="AG56" s="38">
        <f>SUM(AG51:AG55)</f>
        <v>0</v>
      </c>
    </row>
    <row r="57" spans="1:34" ht="21.6" customHeight="1" thickBot="1" x14ac:dyDescent="0.3">
      <c r="A57" s="10" t="s">
        <v>0</v>
      </c>
      <c r="B57" s="11" t="s">
        <v>1</v>
      </c>
      <c r="C57" s="14" t="s">
        <v>2</v>
      </c>
      <c r="D57" s="12" t="s">
        <v>3</v>
      </c>
      <c r="AC57" s="35" t="str">
        <f t="shared" si="0"/>
        <v/>
      </c>
      <c r="AD57" s="35" t="str">
        <f t="shared" si="0"/>
        <v/>
      </c>
      <c r="AF57" s="37"/>
      <c r="AG57" s="37"/>
    </row>
    <row r="58" spans="1:34" ht="21.6" customHeight="1" x14ac:dyDescent="0.25">
      <c r="A58" s="13" t="s">
        <v>29</v>
      </c>
      <c r="B58" s="2"/>
      <c r="C58" s="2"/>
      <c r="D58" s="26"/>
      <c r="AA58" s="34" t="b">
        <v>1</v>
      </c>
      <c r="AB58" s="34" t="b">
        <v>0</v>
      </c>
      <c r="AC58" s="35">
        <f t="shared" si="0"/>
        <v>1</v>
      </c>
      <c r="AD58" s="35">
        <f>IF(AB58="","",IF(AB58=TRUE,0.5,0))</f>
        <v>0</v>
      </c>
      <c r="AE58" s="35">
        <f t="shared" si="2"/>
        <v>1</v>
      </c>
      <c r="AF58" s="37">
        <f t="shared" si="3"/>
        <v>1</v>
      </c>
      <c r="AG58" s="37">
        <f t="shared" si="4"/>
        <v>0</v>
      </c>
      <c r="AH58" s="36" t="str">
        <f>IF(AD58=0,"",IF(AD58=1,2,0))</f>
        <v/>
      </c>
    </row>
    <row r="59" spans="1:34" ht="21.6" customHeight="1" x14ac:dyDescent="0.25">
      <c r="A59" s="5" t="s">
        <v>30</v>
      </c>
      <c r="B59" s="2"/>
      <c r="C59" s="2"/>
      <c r="D59" s="27"/>
      <c r="AA59" s="34" t="b">
        <v>1</v>
      </c>
      <c r="AB59" s="34" t="b">
        <v>0</v>
      </c>
      <c r="AC59" s="35">
        <f t="shared" si="0"/>
        <v>1</v>
      </c>
      <c r="AD59" s="35">
        <f t="shared" ref="AD59:AD62" si="16">IF(AB59="","",IF(AB59=TRUE,0.5,0))</f>
        <v>0</v>
      </c>
      <c r="AE59" s="35">
        <f t="shared" si="2"/>
        <v>1</v>
      </c>
      <c r="AF59" s="37">
        <f t="shared" si="3"/>
        <v>1</v>
      </c>
      <c r="AG59" s="37">
        <f t="shared" si="4"/>
        <v>0</v>
      </c>
      <c r="AH59" s="36" t="str">
        <f t="shared" ref="AH59:AH62" si="17">IF(AD59=0,"",IF(AD59=1,2,0))</f>
        <v/>
      </c>
    </row>
    <row r="60" spans="1:34" ht="21.6" customHeight="1" x14ac:dyDescent="0.25">
      <c r="A60" s="5" t="s">
        <v>31</v>
      </c>
      <c r="B60" s="2"/>
      <c r="C60" s="2"/>
      <c r="D60" s="27"/>
      <c r="AA60" s="34" t="b">
        <v>1</v>
      </c>
      <c r="AB60" s="34" t="b">
        <v>0</v>
      </c>
      <c r="AC60" s="35">
        <f t="shared" si="0"/>
        <v>1</v>
      </c>
      <c r="AD60" s="35">
        <f t="shared" si="16"/>
        <v>0</v>
      </c>
      <c r="AE60" s="35">
        <f t="shared" si="2"/>
        <v>1</v>
      </c>
      <c r="AF60" s="37">
        <f t="shared" si="3"/>
        <v>1</v>
      </c>
      <c r="AG60" s="37">
        <f t="shared" si="4"/>
        <v>0</v>
      </c>
      <c r="AH60" s="36" t="str">
        <f t="shared" si="17"/>
        <v/>
      </c>
    </row>
    <row r="61" spans="1:34" ht="29.25" customHeight="1" x14ac:dyDescent="0.25">
      <c r="A61" s="32" t="s">
        <v>32</v>
      </c>
      <c r="B61" s="2"/>
      <c r="C61" s="2"/>
      <c r="D61" s="30"/>
      <c r="AA61" s="34" t="b">
        <v>1</v>
      </c>
      <c r="AB61" s="34" t="b">
        <v>0</v>
      </c>
      <c r="AC61" s="35">
        <f t="shared" si="0"/>
        <v>1</v>
      </c>
      <c r="AD61" s="35">
        <f t="shared" si="16"/>
        <v>0</v>
      </c>
      <c r="AE61" s="35">
        <f t="shared" si="2"/>
        <v>1</v>
      </c>
      <c r="AF61" s="37">
        <f t="shared" si="3"/>
        <v>1</v>
      </c>
      <c r="AG61" s="37">
        <f t="shared" si="4"/>
        <v>0</v>
      </c>
      <c r="AH61" s="36" t="str">
        <f t="shared" si="17"/>
        <v/>
      </c>
    </row>
    <row r="62" spans="1:34" ht="21.6" customHeight="1" thickBot="1" x14ac:dyDescent="0.3">
      <c r="A62" s="31"/>
      <c r="B62" s="7"/>
      <c r="C62" s="7"/>
      <c r="D62" s="28"/>
      <c r="AA62" s="34" t="b">
        <v>0</v>
      </c>
      <c r="AB62" s="34" t="b">
        <v>0</v>
      </c>
      <c r="AC62" s="35">
        <f t="shared" si="0"/>
        <v>0</v>
      </c>
      <c r="AD62" s="35">
        <f t="shared" si="16"/>
        <v>0</v>
      </c>
      <c r="AE62" s="35">
        <f t="shared" si="2"/>
        <v>0</v>
      </c>
      <c r="AF62" s="37">
        <f t="shared" si="3"/>
        <v>0</v>
      </c>
      <c r="AG62" s="37">
        <f t="shared" si="4"/>
        <v>0</v>
      </c>
      <c r="AH62" s="36" t="str">
        <f t="shared" si="17"/>
        <v/>
      </c>
    </row>
    <row r="63" spans="1:34" ht="21.6" customHeight="1" thickBot="1" x14ac:dyDescent="0.3">
      <c r="A63" s="15" t="s">
        <v>48</v>
      </c>
      <c r="B63" s="18">
        <f>AF63</f>
        <v>4</v>
      </c>
      <c r="C63" s="18">
        <f>AG63</f>
        <v>0</v>
      </c>
      <c r="AC63" s="35" t="str">
        <f t="shared" si="0"/>
        <v/>
      </c>
      <c r="AD63" s="35" t="str">
        <f t="shared" si="0"/>
        <v/>
      </c>
      <c r="AF63" s="38">
        <f>SUM(AF58:AF62)</f>
        <v>4</v>
      </c>
      <c r="AG63" s="38">
        <f>SUM(AG58:AG62)</f>
        <v>0</v>
      </c>
    </row>
    <row r="64" spans="1:34" ht="21.6" customHeight="1" thickBot="1" x14ac:dyDescent="0.3">
      <c r="A64" s="10" t="s">
        <v>0</v>
      </c>
      <c r="B64" s="11" t="s">
        <v>1</v>
      </c>
      <c r="C64" s="14" t="s">
        <v>2</v>
      </c>
      <c r="D64" s="12" t="s">
        <v>3</v>
      </c>
      <c r="AC64" s="35" t="str">
        <f t="shared" si="0"/>
        <v/>
      </c>
      <c r="AD64" s="35" t="str">
        <f t="shared" si="0"/>
        <v/>
      </c>
      <c r="AF64" s="37"/>
      <c r="AG64" s="37"/>
    </row>
    <row r="65" spans="1:34" ht="21.6" customHeight="1" x14ac:dyDescent="0.25">
      <c r="A65" s="13" t="s">
        <v>33</v>
      </c>
      <c r="B65" s="2"/>
      <c r="C65" s="2"/>
      <c r="D65" s="26"/>
      <c r="AA65" s="34" t="b">
        <v>1</v>
      </c>
      <c r="AB65" s="34" t="b">
        <v>0</v>
      </c>
      <c r="AC65" s="35">
        <f t="shared" si="0"/>
        <v>1</v>
      </c>
      <c r="AD65" s="35">
        <f>IF(AB65="","",IF(AB65=TRUE,0.5,0))</f>
        <v>0</v>
      </c>
      <c r="AE65" s="35">
        <f t="shared" si="2"/>
        <v>1</v>
      </c>
      <c r="AF65" s="37">
        <f t="shared" si="3"/>
        <v>1</v>
      </c>
      <c r="AG65" s="37">
        <f t="shared" si="4"/>
        <v>0</v>
      </c>
      <c r="AH65" s="36" t="str">
        <f>IF(AD65=0,"",IF(AD65=1,2,0))</f>
        <v/>
      </c>
    </row>
    <row r="66" spans="1:34" ht="21.6" customHeight="1" x14ac:dyDescent="0.25">
      <c r="A66" s="5" t="s">
        <v>34</v>
      </c>
      <c r="B66" s="2"/>
      <c r="C66" s="2"/>
      <c r="D66" s="27"/>
      <c r="AA66" s="34" t="b">
        <v>1</v>
      </c>
      <c r="AB66" s="34" t="b">
        <v>0</v>
      </c>
      <c r="AC66" s="35">
        <f t="shared" si="0"/>
        <v>1</v>
      </c>
      <c r="AD66" s="35">
        <f t="shared" ref="AD66:AD69" si="18">IF(AB66="","",IF(AB66=TRUE,0.5,0))</f>
        <v>0</v>
      </c>
      <c r="AE66" s="35">
        <f t="shared" si="2"/>
        <v>1</v>
      </c>
      <c r="AF66" s="37">
        <f t="shared" si="3"/>
        <v>1</v>
      </c>
      <c r="AG66" s="37">
        <f t="shared" si="4"/>
        <v>0</v>
      </c>
      <c r="AH66" s="36" t="str">
        <f t="shared" ref="AH66:AH69" si="19">IF(AD66=0,"",IF(AD66=1,2,0))</f>
        <v/>
      </c>
    </row>
    <row r="67" spans="1:34" ht="21.6" customHeight="1" x14ac:dyDescent="0.25">
      <c r="A67" s="5" t="s">
        <v>35</v>
      </c>
      <c r="B67" s="2"/>
      <c r="C67" s="2"/>
      <c r="D67" s="27"/>
      <c r="AA67" s="34" t="b">
        <v>1</v>
      </c>
      <c r="AB67" s="34" t="b">
        <v>0</v>
      </c>
      <c r="AC67" s="35">
        <f t="shared" si="0"/>
        <v>1</v>
      </c>
      <c r="AD67" s="35">
        <f t="shared" si="18"/>
        <v>0</v>
      </c>
      <c r="AE67" s="35">
        <f t="shared" si="2"/>
        <v>1</v>
      </c>
      <c r="AF67" s="37">
        <f t="shared" si="3"/>
        <v>1</v>
      </c>
      <c r="AG67" s="37">
        <f t="shared" si="4"/>
        <v>0</v>
      </c>
      <c r="AH67" s="36" t="str">
        <f t="shared" si="19"/>
        <v/>
      </c>
    </row>
    <row r="68" spans="1:34" ht="21.6" customHeight="1" x14ac:dyDescent="0.25">
      <c r="A68" s="5" t="s">
        <v>36</v>
      </c>
      <c r="B68" s="2"/>
      <c r="C68" s="2"/>
      <c r="D68" s="27"/>
      <c r="AA68" s="34" t="b">
        <v>1</v>
      </c>
      <c r="AB68" s="34" t="b">
        <v>0</v>
      </c>
      <c r="AC68" s="35">
        <f t="shared" si="0"/>
        <v>1</v>
      </c>
      <c r="AD68" s="35">
        <f t="shared" si="18"/>
        <v>0</v>
      </c>
      <c r="AE68" s="35">
        <f t="shared" si="2"/>
        <v>1</v>
      </c>
      <c r="AF68" s="37">
        <f t="shared" si="3"/>
        <v>1</v>
      </c>
      <c r="AG68" s="37">
        <f t="shared" si="4"/>
        <v>0</v>
      </c>
      <c r="AH68" s="36" t="str">
        <f t="shared" si="19"/>
        <v/>
      </c>
    </row>
    <row r="69" spans="1:34" ht="21.6" customHeight="1" thickBot="1" x14ac:dyDescent="0.3">
      <c r="A69" s="6" t="s">
        <v>37</v>
      </c>
      <c r="B69" s="7"/>
      <c r="C69" s="7"/>
      <c r="D69" s="28"/>
      <c r="AA69" s="34" t="b">
        <v>1</v>
      </c>
      <c r="AB69" s="34" t="b">
        <v>0</v>
      </c>
      <c r="AC69" s="35">
        <f t="shared" si="0"/>
        <v>1</v>
      </c>
      <c r="AD69" s="35">
        <f t="shared" si="18"/>
        <v>0</v>
      </c>
      <c r="AE69" s="35">
        <f t="shared" si="2"/>
        <v>1</v>
      </c>
      <c r="AF69" s="37">
        <f t="shared" si="3"/>
        <v>1</v>
      </c>
      <c r="AG69" s="37">
        <f t="shared" si="4"/>
        <v>0</v>
      </c>
      <c r="AH69" s="36" t="str">
        <f t="shared" si="19"/>
        <v/>
      </c>
    </row>
    <row r="70" spans="1:34" ht="21.6" customHeight="1" thickBot="1" x14ac:dyDescent="0.3">
      <c r="A70" s="15" t="s">
        <v>49</v>
      </c>
      <c r="B70" s="18">
        <f>AF70</f>
        <v>5</v>
      </c>
      <c r="C70" s="18">
        <f>AG70</f>
        <v>0</v>
      </c>
      <c r="AC70" s="35" t="str">
        <f t="shared" si="0"/>
        <v/>
      </c>
      <c r="AD70" s="35" t="str">
        <f t="shared" si="0"/>
        <v/>
      </c>
      <c r="AF70" s="38">
        <f>SUM(AF65:AF69)</f>
        <v>5</v>
      </c>
      <c r="AG70" s="38">
        <f>SUM(AG65:AG69)</f>
        <v>0</v>
      </c>
    </row>
    <row r="71" spans="1:34" ht="21.6" customHeight="1" thickBot="1" x14ac:dyDescent="0.3">
      <c r="A71" s="10" t="s">
        <v>0</v>
      </c>
      <c r="B71" s="11" t="s">
        <v>1</v>
      </c>
      <c r="C71" s="14" t="s">
        <v>2</v>
      </c>
      <c r="D71" s="12" t="s">
        <v>3</v>
      </c>
      <c r="AC71" s="35" t="str">
        <f t="shared" si="0"/>
        <v/>
      </c>
      <c r="AD71" s="35" t="str">
        <f t="shared" si="0"/>
        <v/>
      </c>
      <c r="AF71" s="37"/>
      <c r="AG71" s="37"/>
    </row>
    <row r="72" spans="1:34" ht="21.6" customHeight="1" x14ac:dyDescent="0.25">
      <c r="A72" s="13" t="s">
        <v>38</v>
      </c>
      <c r="B72" s="2"/>
      <c r="C72" s="2"/>
      <c r="D72" s="26"/>
      <c r="AA72" s="34" t="b">
        <v>1</v>
      </c>
      <c r="AB72" s="34" t="b">
        <v>0</v>
      </c>
      <c r="AC72" s="35">
        <f t="shared" si="0"/>
        <v>1</v>
      </c>
      <c r="AD72" s="35">
        <f>IF(AB72="","",IF(AB72=TRUE,0.5,0))</f>
        <v>0</v>
      </c>
      <c r="AE72" s="35">
        <f t="shared" si="2"/>
        <v>1</v>
      </c>
      <c r="AF72" s="37">
        <f t="shared" si="3"/>
        <v>1</v>
      </c>
      <c r="AG72" s="37">
        <f t="shared" si="4"/>
        <v>0</v>
      </c>
      <c r="AH72" s="36" t="str">
        <f>IF(AD72=0,"",IF(AD72=1,2,0))</f>
        <v/>
      </c>
    </row>
    <row r="73" spans="1:34" ht="21.6" customHeight="1" x14ac:dyDescent="0.25">
      <c r="A73" s="5" t="s">
        <v>39</v>
      </c>
      <c r="B73" s="2"/>
      <c r="C73" s="2"/>
      <c r="D73" s="27"/>
      <c r="AA73" s="34" t="b">
        <v>1</v>
      </c>
      <c r="AB73" s="34" t="b">
        <v>0</v>
      </c>
      <c r="AC73" s="35">
        <f t="shared" si="0"/>
        <v>1</v>
      </c>
      <c r="AD73" s="35">
        <f t="shared" ref="AD73:AD76" si="20">IF(AB73="","",IF(AB73=TRUE,0.5,0))</f>
        <v>0</v>
      </c>
      <c r="AE73" s="35">
        <f t="shared" si="2"/>
        <v>1</v>
      </c>
      <c r="AF73" s="37">
        <f t="shared" si="3"/>
        <v>1</v>
      </c>
      <c r="AG73" s="37">
        <f t="shared" si="4"/>
        <v>0</v>
      </c>
      <c r="AH73" s="36" t="str">
        <f t="shared" ref="AH73:AH76" si="21">IF(AD73=0,"",IF(AD73=1,2,0))</f>
        <v/>
      </c>
    </row>
    <row r="74" spans="1:34" ht="21.6" customHeight="1" x14ac:dyDescent="0.25">
      <c r="A74" s="5" t="s">
        <v>40</v>
      </c>
      <c r="B74" s="2"/>
      <c r="C74" s="2"/>
      <c r="D74" s="27"/>
      <c r="AA74" s="34" t="b">
        <v>1</v>
      </c>
      <c r="AB74" s="34" t="b">
        <v>0</v>
      </c>
      <c r="AC74" s="35">
        <f t="shared" si="0"/>
        <v>1</v>
      </c>
      <c r="AD74" s="35">
        <f t="shared" si="20"/>
        <v>0</v>
      </c>
      <c r="AE74" s="35">
        <f t="shared" si="2"/>
        <v>1</v>
      </c>
      <c r="AF74" s="37">
        <f t="shared" si="3"/>
        <v>1</v>
      </c>
      <c r="AG74" s="37">
        <f t="shared" si="4"/>
        <v>0</v>
      </c>
      <c r="AH74" s="36" t="str">
        <f t="shared" si="21"/>
        <v/>
      </c>
    </row>
    <row r="75" spans="1:34" ht="21.6" customHeight="1" x14ac:dyDescent="0.25">
      <c r="A75" s="32" t="s">
        <v>41</v>
      </c>
      <c r="B75" s="2"/>
      <c r="C75" s="2"/>
      <c r="D75" s="30"/>
      <c r="AA75" s="34" t="b">
        <v>1</v>
      </c>
      <c r="AB75" s="34" t="b">
        <v>0</v>
      </c>
      <c r="AC75" s="35">
        <f t="shared" si="0"/>
        <v>1</v>
      </c>
      <c r="AD75" s="35">
        <f t="shared" si="20"/>
        <v>0</v>
      </c>
      <c r="AE75" s="35">
        <f t="shared" si="2"/>
        <v>1</v>
      </c>
      <c r="AF75" s="37">
        <f t="shared" si="3"/>
        <v>1</v>
      </c>
      <c r="AG75" s="37">
        <f t="shared" si="4"/>
        <v>0</v>
      </c>
      <c r="AH75" s="36" t="str">
        <f t="shared" si="21"/>
        <v/>
      </c>
    </row>
    <row r="76" spans="1:34" ht="21.6" customHeight="1" thickBot="1" x14ac:dyDescent="0.3">
      <c r="A76" s="31"/>
      <c r="B76" s="7"/>
      <c r="C76" s="7"/>
      <c r="D76" s="28"/>
      <c r="AA76" s="34" t="b">
        <v>0</v>
      </c>
      <c r="AB76" s="34" t="b">
        <v>0</v>
      </c>
      <c r="AC76" s="35">
        <f t="shared" si="0"/>
        <v>0</v>
      </c>
      <c r="AD76" s="35">
        <f t="shared" si="20"/>
        <v>0</v>
      </c>
      <c r="AE76" s="35">
        <f t="shared" si="2"/>
        <v>0</v>
      </c>
      <c r="AF76" s="37">
        <f t="shared" si="3"/>
        <v>0</v>
      </c>
      <c r="AG76" s="37">
        <f t="shared" si="4"/>
        <v>0</v>
      </c>
      <c r="AH76" s="36" t="str">
        <f t="shared" si="21"/>
        <v/>
      </c>
    </row>
    <row r="77" spans="1:34" ht="21.6" customHeight="1" x14ac:dyDescent="0.25">
      <c r="A77" s="15" t="s">
        <v>50</v>
      </c>
      <c r="B77" s="18">
        <f>AF77</f>
        <v>4</v>
      </c>
      <c r="C77" s="18">
        <f>AG77</f>
        <v>0</v>
      </c>
      <c r="AF77" s="38">
        <f>SUM(AF71:AF76)</f>
        <v>4</v>
      </c>
      <c r="AG77" s="38">
        <f>SUM(AG71:AG76)</f>
        <v>0</v>
      </c>
    </row>
    <row r="78" spans="1:34" ht="16.05" customHeight="1" x14ac:dyDescent="0.25">
      <c r="A78" s="1" t="s">
        <v>42</v>
      </c>
    </row>
    <row r="79" spans="1:34" ht="41.55" customHeight="1" x14ac:dyDescent="0.25">
      <c r="A79" s="84"/>
      <c r="B79" s="85"/>
      <c r="C79" s="85"/>
      <c r="D79" s="86"/>
      <c r="AF79" s="38">
        <f>SUM(AF21,AF28,AF35,AF42,AF49,AF56,AF63,AF70,AF77)</f>
        <v>29</v>
      </c>
      <c r="AG79" s="38">
        <f>SUM(AG21,AG28,AG35,AG42,AG49,AG56,AG63,AG70,AG77)</f>
        <v>0</v>
      </c>
    </row>
    <row r="80" spans="1:34" ht="21.6" customHeight="1" x14ac:dyDescent="0.25">
      <c r="A80" t="s">
        <v>43</v>
      </c>
    </row>
    <row r="81" spans="1:4" ht="41.55" customHeight="1" x14ac:dyDescent="0.25">
      <c r="A81" s="84"/>
      <c r="B81" s="85"/>
      <c r="C81" s="85"/>
      <c r="D81" s="86"/>
    </row>
    <row r="82" spans="1:4" ht="21.6" customHeight="1" x14ac:dyDescent="0.25">
      <c r="A82" t="s">
        <v>44</v>
      </c>
    </row>
    <row r="83" spans="1:4" ht="41.55" customHeight="1" x14ac:dyDescent="0.25">
      <c r="A83" s="84"/>
      <c r="B83" s="85"/>
      <c r="C83" s="85"/>
      <c r="D83" s="86"/>
    </row>
    <row r="85" spans="1:4" x14ac:dyDescent="0.25">
      <c r="A85" s="19" t="s">
        <v>62</v>
      </c>
      <c r="B85" s="19" t="s">
        <v>64</v>
      </c>
    </row>
    <row r="87" spans="1:4" ht="13.8" x14ac:dyDescent="0.25">
      <c r="A87" s="20" t="s">
        <v>87</v>
      </c>
      <c r="B87" s="21"/>
      <c r="C87" s="74" t="s">
        <v>68</v>
      </c>
      <c r="D87" s="74"/>
    </row>
    <row r="88" spans="1:4" x14ac:dyDescent="0.25">
      <c r="A88" s="22" t="s">
        <v>65</v>
      </c>
      <c r="C88" s="75" t="s">
        <v>69</v>
      </c>
      <c r="D88" s="75"/>
    </row>
    <row r="91" spans="1:4" ht="13.8" x14ac:dyDescent="0.25">
      <c r="C91" s="74" t="s">
        <v>63</v>
      </c>
      <c r="D91" s="74"/>
    </row>
    <row r="92" spans="1:4" x14ac:dyDescent="0.25">
      <c r="C92" s="75" t="s">
        <v>67</v>
      </c>
      <c r="D92" s="75"/>
    </row>
  </sheetData>
  <sheetProtection algorithmName="SHA-512" hashValue="d0tGm0OMG8YVJGf8mnfd/YxWEGdEzyZkVm8OOLoXxOtlTGvJ+5LPPSxlohBKH45H5jQT5/VxV43VNSe6lFew5w==" saltValue="lBH6aERbyl5Gi6lkAzi8tw==" spinCount="100000" sheet="1" formatCells="0" formatColumns="0" formatRows="0"/>
  <mergeCells count="15">
    <mergeCell ref="B11:D11"/>
    <mergeCell ref="A5:D5"/>
    <mergeCell ref="A6:D6"/>
    <mergeCell ref="A7:D7"/>
    <mergeCell ref="A8:D8"/>
    <mergeCell ref="A10:D10"/>
    <mergeCell ref="C88:D88"/>
    <mergeCell ref="C91:D91"/>
    <mergeCell ref="C92:D92"/>
    <mergeCell ref="B12:D12"/>
    <mergeCell ref="B13:D13"/>
    <mergeCell ref="A79:D79"/>
    <mergeCell ref="A81:D81"/>
    <mergeCell ref="A83:D83"/>
    <mergeCell ref="C87:D87"/>
  </mergeCells>
  <conditionalFormatting sqref="B16:C16">
    <cfRule type="expression" dxfId="179" priority="45">
      <formula>$AE$16&gt;1</formula>
    </cfRule>
  </conditionalFormatting>
  <conditionalFormatting sqref="B17:C17">
    <cfRule type="expression" dxfId="178" priority="44">
      <formula>$AE$17&gt;1</formula>
    </cfRule>
  </conditionalFormatting>
  <conditionalFormatting sqref="B18:C18">
    <cfRule type="expression" dxfId="177" priority="7">
      <formula>$AE$18&gt;1</formula>
    </cfRule>
  </conditionalFormatting>
  <conditionalFormatting sqref="B19:C19">
    <cfRule type="expression" dxfId="176" priority="42">
      <formula>$AE$19&gt;1</formula>
    </cfRule>
  </conditionalFormatting>
  <conditionalFormatting sqref="B20:C20">
    <cfRule type="expression" dxfId="175" priority="43">
      <formula>$AE$20&gt;1</formula>
    </cfRule>
  </conditionalFormatting>
  <conditionalFormatting sqref="B23:C23">
    <cfRule type="expression" dxfId="174" priority="41">
      <formula>$AE$23&gt;1</formula>
    </cfRule>
  </conditionalFormatting>
  <conditionalFormatting sqref="B24:C24">
    <cfRule type="expression" dxfId="173" priority="40">
      <formula>$AE$24&gt;1</formula>
    </cfRule>
  </conditionalFormatting>
  <conditionalFormatting sqref="B25:C25">
    <cfRule type="expression" dxfId="172" priority="6">
      <formula>$AE$25&gt;1</formula>
    </cfRule>
  </conditionalFormatting>
  <conditionalFormatting sqref="B26:C26">
    <cfRule type="expression" dxfId="171" priority="39">
      <formula>$AE$26&gt;1</formula>
    </cfRule>
  </conditionalFormatting>
  <conditionalFormatting sqref="B27:C27">
    <cfRule type="expression" dxfId="170" priority="38">
      <formula>$AE$27&gt;1</formula>
    </cfRule>
  </conditionalFormatting>
  <conditionalFormatting sqref="B30:C30">
    <cfRule type="expression" dxfId="169" priority="37">
      <formula>$AE$30&gt;1</formula>
    </cfRule>
  </conditionalFormatting>
  <conditionalFormatting sqref="B31:C31">
    <cfRule type="expression" dxfId="168" priority="36">
      <formula>$AE$31&gt;1</formula>
    </cfRule>
  </conditionalFormatting>
  <conditionalFormatting sqref="B32:C32">
    <cfRule type="expression" dxfId="167" priority="35">
      <formula>$AE$32&gt;1</formula>
    </cfRule>
  </conditionalFormatting>
  <conditionalFormatting sqref="B33:C33">
    <cfRule type="expression" dxfId="166" priority="5">
      <formula>$AE$33&gt;1</formula>
    </cfRule>
  </conditionalFormatting>
  <conditionalFormatting sqref="B34:C34">
    <cfRule type="expression" dxfId="165" priority="34">
      <formula>$AE$34&gt;1</formula>
    </cfRule>
  </conditionalFormatting>
  <conditionalFormatting sqref="B37:C37">
    <cfRule type="expression" dxfId="164" priority="33">
      <formula>$AE$37&gt;1</formula>
    </cfRule>
  </conditionalFormatting>
  <conditionalFormatting sqref="B38:C38">
    <cfRule type="expression" dxfId="163" priority="32">
      <formula>$AE$38&gt;1</formula>
    </cfRule>
  </conditionalFormatting>
  <conditionalFormatting sqref="B39:C39">
    <cfRule type="expression" dxfId="162" priority="4">
      <formula>$AE$39&gt;1</formula>
    </cfRule>
  </conditionalFormatting>
  <conditionalFormatting sqref="B40:C40">
    <cfRule type="expression" dxfId="161" priority="31">
      <formula>$AE$40&gt;1</formula>
    </cfRule>
  </conditionalFormatting>
  <conditionalFormatting sqref="B41:C41">
    <cfRule type="expression" dxfId="160" priority="30">
      <formula>$AE$41&gt;1</formula>
    </cfRule>
  </conditionalFormatting>
  <conditionalFormatting sqref="B44:C44">
    <cfRule type="expression" dxfId="159" priority="29">
      <formula>$AE$44&gt;1</formula>
    </cfRule>
  </conditionalFormatting>
  <conditionalFormatting sqref="B45:C45">
    <cfRule type="expression" dxfId="158" priority="28">
      <formula>$AE$45&gt;1</formula>
    </cfRule>
  </conditionalFormatting>
  <conditionalFormatting sqref="B46:C46">
    <cfRule type="expression" dxfId="157" priority="27">
      <formula>$AE$46&gt;1</formula>
    </cfRule>
  </conditionalFormatting>
  <conditionalFormatting sqref="B47:C47">
    <cfRule type="expression" dxfId="156" priority="3">
      <formula>$AE$47&gt;1</formula>
    </cfRule>
  </conditionalFormatting>
  <conditionalFormatting sqref="B48:C48">
    <cfRule type="expression" dxfId="155" priority="26">
      <formula>$AE$48&gt;1</formula>
    </cfRule>
  </conditionalFormatting>
  <conditionalFormatting sqref="B51:C51">
    <cfRule type="expression" dxfId="154" priority="25">
      <formula>$AE$51&gt;1</formula>
    </cfRule>
  </conditionalFormatting>
  <conditionalFormatting sqref="B52:C52">
    <cfRule type="expression" dxfId="153" priority="24">
      <formula>$AE$52&gt;1</formula>
    </cfRule>
  </conditionalFormatting>
  <conditionalFormatting sqref="B53:C53">
    <cfRule type="expression" dxfId="152" priority="23">
      <formula>$AE$53&gt;1</formula>
    </cfRule>
  </conditionalFormatting>
  <conditionalFormatting sqref="B54:C54">
    <cfRule type="expression" dxfId="151" priority="22">
      <formula>$AE$54&gt;1</formula>
    </cfRule>
  </conditionalFormatting>
  <conditionalFormatting sqref="B55:C55">
    <cfRule type="expression" dxfId="150" priority="21">
      <formula>$AE$55&gt;1</formula>
    </cfRule>
  </conditionalFormatting>
  <conditionalFormatting sqref="B58:C58">
    <cfRule type="expression" dxfId="149" priority="11">
      <formula>$AE$58&gt;1</formula>
    </cfRule>
  </conditionalFormatting>
  <conditionalFormatting sqref="B59:C59">
    <cfRule type="expression" dxfId="148" priority="10">
      <formula>$AE$59&gt;1</formula>
    </cfRule>
  </conditionalFormatting>
  <conditionalFormatting sqref="B60:C60">
    <cfRule type="expression" dxfId="147" priority="9">
      <formula>$AE$60&gt;1</formula>
    </cfRule>
  </conditionalFormatting>
  <conditionalFormatting sqref="B61:C61">
    <cfRule type="expression" dxfId="146" priority="2">
      <formula>$AE$61&gt;1</formula>
    </cfRule>
  </conditionalFormatting>
  <conditionalFormatting sqref="B62:C62">
    <cfRule type="expression" dxfId="145" priority="8">
      <formula>$AE$62&gt;1</formula>
    </cfRule>
  </conditionalFormatting>
  <conditionalFormatting sqref="B65:C65">
    <cfRule type="expression" dxfId="144" priority="20">
      <formula>$AE$65&gt;1</formula>
    </cfRule>
  </conditionalFormatting>
  <conditionalFormatting sqref="B66:C66">
    <cfRule type="expression" dxfId="143" priority="19">
      <formula>$AE$66&gt;1</formula>
    </cfRule>
  </conditionalFormatting>
  <conditionalFormatting sqref="B67:C67">
    <cfRule type="expression" dxfId="142" priority="18">
      <formula>$AE$67&gt;1</formula>
    </cfRule>
  </conditionalFormatting>
  <conditionalFormatting sqref="B68:C68">
    <cfRule type="expression" dxfId="141" priority="17">
      <formula>$AE$68&gt;1</formula>
    </cfRule>
  </conditionalFormatting>
  <conditionalFormatting sqref="B69:C69">
    <cfRule type="expression" dxfId="140" priority="16">
      <formula>$AE$69&gt;1</formula>
    </cfRule>
  </conditionalFormatting>
  <conditionalFormatting sqref="B72:C72">
    <cfRule type="expression" dxfId="139" priority="15">
      <formula>$AE$72&gt;1</formula>
    </cfRule>
  </conditionalFormatting>
  <conditionalFormatting sqref="B73:C73">
    <cfRule type="expression" dxfId="138" priority="14">
      <formula>$AE$73&gt;1</formula>
    </cfRule>
  </conditionalFormatting>
  <conditionalFormatting sqref="B74:C74">
    <cfRule type="expression" dxfId="137" priority="13">
      <formula>$AE$74&gt;1</formula>
    </cfRule>
  </conditionalFormatting>
  <conditionalFormatting sqref="B75:C75">
    <cfRule type="expression" dxfId="136" priority="1">
      <formula>$AE$75&gt;1</formula>
    </cfRule>
  </conditionalFormatting>
  <conditionalFormatting sqref="B76:C76">
    <cfRule type="expression" dxfId="135" priority="12">
      <formula>$AE$76&gt;1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68580</xdr:rowOff>
                  </from>
                  <to>
                    <xdr:col>1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68580</xdr:rowOff>
                  </from>
                  <to>
                    <xdr:col>1</xdr:col>
                    <xdr:colOff>320040</xdr:colOff>
                    <xdr:row>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68580</xdr:rowOff>
                  </from>
                  <to>
                    <xdr:col>1</xdr:col>
                    <xdr:colOff>297180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68580</xdr:rowOff>
                  </from>
                  <to>
                    <xdr:col>1</xdr:col>
                    <xdr:colOff>297180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68580</xdr:rowOff>
                  </from>
                  <to>
                    <xdr:col>1</xdr:col>
                    <xdr:colOff>281940</xdr:colOff>
                    <xdr:row>23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68580</xdr:rowOff>
                  </from>
                  <to>
                    <xdr:col>1</xdr:col>
                    <xdr:colOff>327660</xdr:colOff>
                    <xdr:row>24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68580</xdr:rowOff>
                  </from>
                  <to>
                    <xdr:col>1</xdr:col>
                    <xdr:colOff>297180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68580</xdr:rowOff>
                  </from>
                  <to>
                    <xdr:col>1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68580</xdr:rowOff>
                  </from>
                  <to>
                    <xdr:col>1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68580</xdr:rowOff>
                  </from>
                  <to>
                    <xdr:col>1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68580</xdr:rowOff>
                  </from>
                  <to>
                    <xdr:col>1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68580</xdr:rowOff>
                  </from>
                  <to>
                    <xdr:col>1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68580</xdr:rowOff>
                  </from>
                  <to>
                    <xdr:col>1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68580</xdr:rowOff>
                  </from>
                  <to>
                    <xdr:col>1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68580</xdr:rowOff>
                  </from>
                  <to>
                    <xdr:col>1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68580</xdr:rowOff>
                  </from>
                  <to>
                    <xdr:col>1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68580</xdr:rowOff>
                  </from>
                  <to>
                    <xdr:col>1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68580</xdr:rowOff>
                  </from>
                  <to>
                    <xdr:col>1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68580</xdr:rowOff>
                  </from>
                  <to>
                    <xdr:col>1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68580</xdr:rowOff>
                  </from>
                  <to>
                    <xdr:col>1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68580</xdr:rowOff>
                  </from>
                  <to>
                    <xdr:col>1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68580</xdr:rowOff>
                  </from>
                  <to>
                    <xdr:col>1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68580</xdr:rowOff>
                  </from>
                  <to>
                    <xdr:col>1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68580</xdr:rowOff>
                  </from>
                  <to>
                    <xdr:col>1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68580</xdr:rowOff>
                  </from>
                  <to>
                    <xdr:col>1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68580</xdr:rowOff>
                  </from>
                  <to>
                    <xdr:col>1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68580</xdr:rowOff>
                  </from>
                  <to>
                    <xdr:col>1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68580</xdr:rowOff>
                  </from>
                  <to>
                    <xdr:col>1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68580</xdr:rowOff>
                  </from>
                  <to>
                    <xdr:col>1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68580</xdr:rowOff>
                  </from>
                  <to>
                    <xdr:col>1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68580</xdr:rowOff>
                  </from>
                  <to>
                    <xdr:col>1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68580</xdr:rowOff>
                  </from>
                  <to>
                    <xdr:col>1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68580</xdr:rowOff>
                  </from>
                  <to>
                    <xdr:col>1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Check Box 34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68580</xdr:rowOff>
                  </from>
                  <to>
                    <xdr:col>1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Check Box 35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68580</xdr:rowOff>
                  </from>
                  <to>
                    <xdr:col>1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Check Box 36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68580</xdr:rowOff>
                  </from>
                  <to>
                    <xdr:col>1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Check Box 37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68580</xdr:rowOff>
                  </from>
                  <to>
                    <xdr:col>1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68580</xdr:rowOff>
                  </from>
                  <to>
                    <xdr:col>2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68580</xdr:rowOff>
                  </from>
                  <to>
                    <xdr:col>2</xdr:col>
                    <xdr:colOff>327660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68580</xdr:rowOff>
                  </from>
                  <to>
                    <xdr:col>2</xdr:col>
                    <xdr:colOff>327660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68580</xdr:rowOff>
                  </from>
                  <to>
                    <xdr:col>2</xdr:col>
                    <xdr:colOff>327660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68580</xdr:rowOff>
                  </from>
                  <to>
                    <xdr:col>2</xdr:col>
                    <xdr:colOff>327660</xdr:colOff>
                    <xdr:row>23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68580</xdr:rowOff>
                  </from>
                  <to>
                    <xdr:col>2</xdr:col>
                    <xdr:colOff>327660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68580</xdr:rowOff>
                  </from>
                  <to>
                    <xdr:col>2</xdr:col>
                    <xdr:colOff>327660</xdr:colOff>
                    <xdr:row>26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68580</xdr:rowOff>
                  </from>
                  <to>
                    <xdr:col>2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68580</xdr:rowOff>
                  </from>
                  <to>
                    <xdr:col>2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68580</xdr:rowOff>
                  </from>
                  <to>
                    <xdr:col>2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68580</xdr:rowOff>
                  </from>
                  <to>
                    <xdr:col>2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68580</xdr:rowOff>
                  </from>
                  <to>
                    <xdr:col>2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68580</xdr:rowOff>
                  </from>
                  <to>
                    <xdr:col>2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68580</xdr:rowOff>
                  </from>
                  <to>
                    <xdr:col>2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68580</xdr:rowOff>
                  </from>
                  <to>
                    <xdr:col>2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68580</xdr:rowOff>
                  </from>
                  <to>
                    <xdr:col>2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68580</xdr:rowOff>
                  </from>
                  <to>
                    <xdr:col>2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68580</xdr:rowOff>
                  </from>
                  <to>
                    <xdr:col>2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68580</xdr:rowOff>
                  </from>
                  <to>
                    <xdr:col>2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68580</xdr:rowOff>
                  </from>
                  <to>
                    <xdr:col>2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68580</xdr:rowOff>
                  </from>
                  <to>
                    <xdr:col>2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68580</xdr:rowOff>
                  </from>
                  <to>
                    <xdr:col>2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68580</xdr:rowOff>
                  </from>
                  <to>
                    <xdr:col>2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68580</xdr:rowOff>
                  </from>
                  <to>
                    <xdr:col>2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68580</xdr:rowOff>
                  </from>
                  <to>
                    <xdr:col>2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68580</xdr:rowOff>
                  </from>
                  <to>
                    <xdr:col>2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68580</xdr:rowOff>
                  </from>
                  <to>
                    <xdr:col>2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68580</xdr:rowOff>
                  </from>
                  <to>
                    <xdr:col>2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8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68580</xdr:rowOff>
                  </from>
                  <to>
                    <xdr:col>2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9" r:id="rId70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68580</xdr:rowOff>
                  </from>
                  <to>
                    <xdr:col>2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0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68580</xdr:rowOff>
                  </from>
                  <to>
                    <xdr:col>2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72" name="Check Box 69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68580</xdr:rowOff>
                  </from>
                  <to>
                    <xdr:col>2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2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68580</xdr:rowOff>
                  </from>
                  <to>
                    <xdr:col>2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3" r:id="rId74" name="Check Box 71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68580</xdr:rowOff>
                  </from>
                  <to>
                    <xdr:col>2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4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68580</xdr:rowOff>
                  </from>
                  <to>
                    <xdr:col>2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5" r:id="rId76" name="Check Box 73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68580</xdr:rowOff>
                  </from>
                  <to>
                    <xdr:col>2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6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68580</xdr:rowOff>
                  </from>
                  <to>
                    <xdr:col>2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7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68580</xdr:rowOff>
                  </from>
                  <to>
                    <xdr:col>1</xdr:col>
                    <xdr:colOff>304800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8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68580</xdr:rowOff>
                  </from>
                  <to>
                    <xdr:col>2</xdr:col>
                    <xdr:colOff>327660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9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68580</xdr:rowOff>
                  </from>
                  <to>
                    <xdr:col>1</xdr:col>
                    <xdr:colOff>320040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0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68580</xdr:rowOff>
                  </from>
                  <to>
                    <xdr:col>2</xdr:col>
                    <xdr:colOff>327660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1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68580</xdr:rowOff>
                  </from>
                  <to>
                    <xdr:col>1</xdr:col>
                    <xdr:colOff>327660</xdr:colOff>
                    <xdr:row>25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2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68580</xdr:rowOff>
                  </from>
                  <to>
                    <xdr:col>2</xdr:col>
                    <xdr:colOff>327660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3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68580</xdr:rowOff>
                  </from>
                  <to>
                    <xdr:col>1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4" r:id="rId85" name="Check Box 8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68580</xdr:rowOff>
                  </from>
                  <to>
                    <xdr:col>2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5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68580</xdr:rowOff>
                  </from>
                  <to>
                    <xdr:col>1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6" r:id="rId87" name="Check Box 84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68580</xdr:rowOff>
                  </from>
                  <to>
                    <xdr:col>2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7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68580</xdr:rowOff>
                  </from>
                  <to>
                    <xdr:col>1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8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68580</xdr:rowOff>
                  </from>
                  <to>
                    <xdr:col>2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9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68580</xdr:rowOff>
                  </from>
                  <to>
                    <xdr:col>1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0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68580</xdr:rowOff>
                  </from>
                  <to>
                    <xdr:col>2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1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68580</xdr:rowOff>
                  </from>
                  <to>
                    <xdr:col>1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2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68580</xdr:rowOff>
                  </from>
                  <to>
                    <xdr:col>2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4FB0-A635-4C80-AB27-4A1490C6EDFA}">
  <dimension ref="A5:AH92"/>
  <sheetViews>
    <sheetView showGridLines="0" topLeftCell="A66" workbookViewId="0">
      <selection activeCell="E25" sqref="E25"/>
    </sheetView>
  </sheetViews>
  <sheetFormatPr defaultColWidth="9.33203125" defaultRowHeight="13.2" x14ac:dyDescent="0.25"/>
  <cols>
    <col min="1" max="1" width="54.6640625" customWidth="1"/>
    <col min="2" max="3" width="6.77734375" customWidth="1"/>
    <col min="4" max="4" width="44.77734375" style="4" customWidth="1"/>
    <col min="6" max="25" width="9.33203125" customWidth="1"/>
    <col min="27" max="28" width="9.33203125" style="34"/>
    <col min="29" max="30" width="4.21875" style="35" customWidth="1"/>
    <col min="31" max="31" width="3.33203125" style="35" customWidth="1"/>
    <col min="32" max="33" width="9.33203125" style="35"/>
    <col min="34" max="34" width="9.33203125" style="36"/>
  </cols>
  <sheetData>
    <row r="5" spans="1:34" ht="13.05" customHeight="1" x14ac:dyDescent="0.25">
      <c r="A5" s="79" t="s">
        <v>59</v>
      </c>
      <c r="B5" s="79"/>
      <c r="C5" s="79"/>
      <c r="D5" s="79"/>
    </row>
    <row r="6" spans="1:34" ht="13.05" customHeight="1" x14ac:dyDescent="0.25">
      <c r="A6" s="80" t="s">
        <v>60</v>
      </c>
      <c r="B6" s="80"/>
      <c r="C6" s="80"/>
      <c r="D6" s="80"/>
    </row>
    <row r="7" spans="1:34" x14ac:dyDescent="0.25">
      <c r="A7" s="78"/>
      <c r="B7" s="78"/>
      <c r="C7" s="78"/>
      <c r="D7" s="78"/>
    </row>
    <row r="8" spans="1:34" ht="13.05" customHeight="1" thickBot="1" x14ac:dyDescent="0.3">
      <c r="A8" s="83" t="s">
        <v>61</v>
      </c>
      <c r="B8" s="83"/>
      <c r="C8" s="83"/>
      <c r="D8" s="83"/>
    </row>
    <row r="9" spans="1:34" ht="7.05" customHeight="1" thickTop="1" x14ac:dyDescent="0.25">
      <c r="A9" s="18"/>
      <c r="B9" s="18"/>
      <c r="C9" s="18"/>
      <c r="D9" s="18"/>
    </row>
    <row r="10" spans="1:34" ht="13.8" x14ac:dyDescent="0.25">
      <c r="A10" s="82" t="s">
        <v>45</v>
      </c>
      <c r="B10" s="82"/>
      <c r="C10" s="82"/>
      <c r="D10" s="82"/>
    </row>
    <row r="11" spans="1:34" x14ac:dyDescent="0.25">
      <c r="A11" s="3" t="s">
        <v>46</v>
      </c>
      <c r="B11" s="88" t="s">
        <v>84</v>
      </c>
      <c r="C11" s="88"/>
      <c r="D11" s="88"/>
    </row>
    <row r="12" spans="1:34" x14ac:dyDescent="0.25">
      <c r="A12" s="16" t="s">
        <v>55</v>
      </c>
      <c r="B12" s="88"/>
      <c r="C12" s="88"/>
      <c r="D12" s="88"/>
    </row>
    <row r="13" spans="1:34" x14ac:dyDescent="0.25">
      <c r="A13" s="16" t="s">
        <v>56</v>
      </c>
      <c r="B13" s="88"/>
      <c r="C13" s="88"/>
      <c r="D13" s="88"/>
    </row>
    <row r="14" spans="1:34" ht="22.5" customHeight="1" thickBot="1" x14ac:dyDescent="0.3">
      <c r="A14" s="15" t="s">
        <v>54</v>
      </c>
    </row>
    <row r="15" spans="1:34" ht="13.8" thickBot="1" x14ac:dyDescent="0.3">
      <c r="A15" s="10" t="s">
        <v>0</v>
      </c>
      <c r="B15" s="11" t="s">
        <v>1</v>
      </c>
      <c r="C15" s="11" t="s">
        <v>2</v>
      </c>
      <c r="D15" s="12" t="s">
        <v>3</v>
      </c>
    </row>
    <row r="16" spans="1:34" ht="25.05" customHeight="1" x14ac:dyDescent="0.25">
      <c r="A16" s="8" t="s">
        <v>4</v>
      </c>
      <c r="B16" s="9"/>
      <c r="C16" s="9"/>
      <c r="D16" s="23"/>
      <c r="AA16" s="34" t="b">
        <v>1</v>
      </c>
      <c r="AB16" s="34" t="b">
        <v>0</v>
      </c>
      <c r="AC16" s="35">
        <f>IF(AA16="","",IF(AA16=TRUE,1,0))</f>
        <v>1</v>
      </c>
      <c r="AD16" s="35">
        <f>IF(AB16="","",IF(AB16=TRUE,0.5,0))</f>
        <v>0</v>
      </c>
      <c r="AE16" s="40">
        <f>SUM(AC16:AD16)</f>
        <v>1</v>
      </c>
      <c r="AF16" s="37">
        <f>IF(AE16=1,AC16,0)</f>
        <v>1</v>
      </c>
      <c r="AG16" s="37">
        <f>IF(AE16=1,AD16,0)</f>
        <v>0</v>
      </c>
      <c r="AH16" s="36" t="str">
        <f>IF(AD16=0,"",IF(AD16=1,2,0))</f>
        <v/>
      </c>
    </row>
    <row r="17" spans="1:34" ht="25.05" customHeight="1" x14ac:dyDescent="0.25">
      <c r="A17" s="5" t="s">
        <v>5</v>
      </c>
      <c r="B17" s="2"/>
      <c r="C17" s="2"/>
      <c r="D17" s="24"/>
      <c r="AA17" s="34" t="b">
        <v>1</v>
      </c>
      <c r="AB17" s="34" t="b">
        <v>0</v>
      </c>
      <c r="AC17" s="35">
        <f t="shared" ref="AC17:AD76" si="0">IF(AA17="","",IF(AA17=TRUE,1,0))</f>
        <v>1</v>
      </c>
      <c r="AD17" s="35">
        <f t="shared" ref="AD17:AD20" si="1">IF(AB17="","",IF(AB17=TRUE,0.5,0))</f>
        <v>0</v>
      </c>
      <c r="AE17" s="35">
        <f t="shared" ref="AE17:AE76" si="2">SUM(AC17:AD17)</f>
        <v>1</v>
      </c>
      <c r="AF17" s="37">
        <f t="shared" ref="AF17:AF76" si="3">IF(AE17=1,AC17,0)</f>
        <v>1</v>
      </c>
      <c r="AG17" s="37">
        <f t="shared" ref="AG17:AG76" si="4">IF(AE17=1,AD17,0)</f>
        <v>0</v>
      </c>
      <c r="AH17" s="36" t="str">
        <f t="shared" ref="AH17:AH20" si="5">IF(AD17=0,"",IF(AD17=1,2,0))</f>
        <v/>
      </c>
    </row>
    <row r="18" spans="1:34" ht="25.05" customHeight="1" x14ac:dyDescent="0.25">
      <c r="A18" s="5" t="s">
        <v>6</v>
      </c>
      <c r="B18" s="2"/>
      <c r="C18" s="2"/>
      <c r="D18" s="24"/>
      <c r="AA18" s="34" t="b">
        <v>1</v>
      </c>
      <c r="AB18" s="34" t="b">
        <v>0</v>
      </c>
      <c r="AC18" s="35">
        <f t="shared" si="0"/>
        <v>1</v>
      </c>
      <c r="AD18" s="35">
        <f t="shared" si="1"/>
        <v>0</v>
      </c>
      <c r="AE18" s="35">
        <f t="shared" si="2"/>
        <v>1</v>
      </c>
      <c r="AF18" s="37">
        <f t="shared" si="3"/>
        <v>1</v>
      </c>
      <c r="AG18" s="37">
        <f t="shared" si="4"/>
        <v>0</v>
      </c>
      <c r="AH18" s="36" t="str">
        <f t="shared" si="5"/>
        <v/>
      </c>
    </row>
    <row r="19" spans="1:34" ht="25.05" customHeight="1" x14ac:dyDescent="0.25">
      <c r="A19" s="32" t="s">
        <v>7</v>
      </c>
      <c r="B19" s="2"/>
      <c r="C19" s="2"/>
      <c r="D19" s="29"/>
      <c r="AA19" s="34" t="b">
        <v>1</v>
      </c>
      <c r="AB19" s="34" t="b">
        <v>0</v>
      </c>
      <c r="AC19" s="35">
        <f t="shared" si="0"/>
        <v>1</v>
      </c>
      <c r="AD19" s="35">
        <f t="shared" si="1"/>
        <v>0</v>
      </c>
      <c r="AE19" s="35">
        <f t="shared" si="2"/>
        <v>1</v>
      </c>
      <c r="AF19" s="37">
        <f t="shared" si="3"/>
        <v>1</v>
      </c>
      <c r="AG19" s="37">
        <f t="shared" si="4"/>
        <v>0</v>
      </c>
      <c r="AH19" s="36" t="str">
        <f t="shared" si="5"/>
        <v/>
      </c>
    </row>
    <row r="20" spans="1:34" ht="25.05" customHeight="1" thickBot="1" x14ac:dyDescent="0.3">
      <c r="A20" s="31"/>
      <c r="B20" s="7"/>
      <c r="C20" s="7"/>
      <c r="D20" s="25"/>
      <c r="AA20" s="34" t="b">
        <v>0</v>
      </c>
      <c r="AB20" s="34" t="b">
        <v>0</v>
      </c>
      <c r="AC20" s="35">
        <f t="shared" si="0"/>
        <v>0</v>
      </c>
      <c r="AD20" s="35">
        <f t="shared" si="1"/>
        <v>0</v>
      </c>
      <c r="AE20" s="35">
        <f t="shared" si="2"/>
        <v>0</v>
      </c>
      <c r="AF20" s="37">
        <f t="shared" si="3"/>
        <v>0</v>
      </c>
      <c r="AG20" s="37">
        <f t="shared" si="4"/>
        <v>0</v>
      </c>
      <c r="AH20" s="36" t="str">
        <f t="shared" si="5"/>
        <v/>
      </c>
    </row>
    <row r="21" spans="1:34" ht="21.6" customHeight="1" thickBot="1" x14ac:dyDescent="0.3">
      <c r="A21" s="15" t="s">
        <v>53</v>
      </c>
      <c r="B21" s="18">
        <f>AF21</f>
        <v>4</v>
      </c>
      <c r="C21" s="18">
        <f>AG21</f>
        <v>0</v>
      </c>
      <c r="AC21" s="35" t="str">
        <f t="shared" si="0"/>
        <v/>
      </c>
      <c r="AD21" s="35" t="str">
        <f t="shared" si="0"/>
        <v/>
      </c>
      <c r="AF21" s="38">
        <f>SUM(AF16:AF20)</f>
        <v>4</v>
      </c>
      <c r="AG21" s="38">
        <f>SUM(AG16:AG20)</f>
        <v>0</v>
      </c>
    </row>
    <row r="22" spans="1:34" ht="21.6" customHeight="1" thickBot="1" x14ac:dyDescent="0.3">
      <c r="A22" s="10" t="s">
        <v>0</v>
      </c>
      <c r="B22" s="11" t="s">
        <v>1</v>
      </c>
      <c r="C22" s="14" t="s">
        <v>2</v>
      </c>
      <c r="D22" s="12" t="s">
        <v>3</v>
      </c>
      <c r="AC22" s="35" t="str">
        <f t="shared" si="0"/>
        <v/>
      </c>
      <c r="AD22" s="35" t="str">
        <f t="shared" si="0"/>
        <v/>
      </c>
      <c r="AF22" s="37"/>
      <c r="AG22" s="37"/>
    </row>
    <row r="23" spans="1:34" ht="21.6" customHeight="1" x14ac:dyDescent="0.25">
      <c r="A23" s="13" t="s">
        <v>8</v>
      </c>
      <c r="B23" s="2"/>
      <c r="C23" s="2"/>
      <c r="D23" s="26"/>
      <c r="AA23" s="34" t="b">
        <v>0</v>
      </c>
      <c r="AB23" s="34" t="b">
        <v>1</v>
      </c>
      <c r="AC23" s="35">
        <f t="shared" si="0"/>
        <v>0</v>
      </c>
      <c r="AD23" s="35">
        <f>IF(AB23="","",IF(AB23=TRUE,0.5,0))</f>
        <v>0.5</v>
      </c>
      <c r="AE23" s="35">
        <f t="shared" si="2"/>
        <v>0.5</v>
      </c>
      <c r="AF23" s="37">
        <f t="shared" si="3"/>
        <v>0</v>
      </c>
      <c r="AG23" s="37">
        <f t="shared" si="4"/>
        <v>0</v>
      </c>
      <c r="AH23" s="36">
        <f>IF(AD23=0,"",IF(AD23=1,2,0))</f>
        <v>0</v>
      </c>
    </row>
    <row r="24" spans="1:34" ht="21.6" customHeight="1" x14ac:dyDescent="0.25">
      <c r="A24" s="5" t="s">
        <v>9</v>
      </c>
      <c r="B24" s="2"/>
      <c r="C24" s="2"/>
      <c r="D24" s="27"/>
      <c r="AA24" s="34" t="b">
        <v>0</v>
      </c>
      <c r="AB24" s="34" t="b">
        <v>1</v>
      </c>
      <c r="AC24" s="35">
        <f t="shared" si="0"/>
        <v>0</v>
      </c>
      <c r="AD24" s="35">
        <f t="shared" ref="AD24:AD27" si="6">IF(AB24="","",IF(AB24=TRUE,0.5,0))</f>
        <v>0.5</v>
      </c>
      <c r="AE24" s="35">
        <f t="shared" si="2"/>
        <v>0.5</v>
      </c>
      <c r="AF24" s="37">
        <f t="shared" si="3"/>
        <v>0</v>
      </c>
      <c r="AG24" s="37">
        <f t="shared" si="4"/>
        <v>0</v>
      </c>
      <c r="AH24" s="36">
        <f t="shared" ref="AH24:AH27" si="7">IF(AD24=0,"",IF(AD24=1,2,0))</f>
        <v>0</v>
      </c>
    </row>
    <row r="25" spans="1:34" ht="21.6" customHeight="1" x14ac:dyDescent="0.25">
      <c r="A25" s="5" t="s">
        <v>10</v>
      </c>
      <c r="B25" s="2"/>
      <c r="C25" s="2"/>
      <c r="D25" s="27"/>
      <c r="AA25" s="34" t="b">
        <v>0</v>
      </c>
      <c r="AB25" s="34" t="b">
        <v>1</v>
      </c>
      <c r="AC25" s="35">
        <f t="shared" si="0"/>
        <v>0</v>
      </c>
      <c r="AD25" s="35">
        <f t="shared" si="6"/>
        <v>0.5</v>
      </c>
      <c r="AE25" s="35">
        <f t="shared" si="2"/>
        <v>0.5</v>
      </c>
      <c r="AF25" s="37">
        <f t="shared" si="3"/>
        <v>0</v>
      </c>
      <c r="AG25" s="37">
        <f t="shared" si="4"/>
        <v>0</v>
      </c>
      <c r="AH25" s="36">
        <f t="shared" si="7"/>
        <v>0</v>
      </c>
    </row>
    <row r="26" spans="1:34" ht="21.6" customHeight="1" x14ac:dyDescent="0.25">
      <c r="A26" s="32" t="s">
        <v>11</v>
      </c>
      <c r="B26" s="2"/>
      <c r="C26" s="2"/>
      <c r="D26" s="30"/>
      <c r="AA26" s="34" t="b">
        <v>0</v>
      </c>
      <c r="AB26" s="34" t="b">
        <v>1</v>
      </c>
      <c r="AC26" s="35">
        <f t="shared" si="0"/>
        <v>0</v>
      </c>
      <c r="AD26" s="35">
        <f t="shared" si="6"/>
        <v>0.5</v>
      </c>
      <c r="AE26" s="35">
        <f t="shared" si="2"/>
        <v>0.5</v>
      </c>
      <c r="AF26" s="37">
        <f t="shared" si="3"/>
        <v>0</v>
      </c>
      <c r="AG26" s="37">
        <f t="shared" si="4"/>
        <v>0</v>
      </c>
      <c r="AH26" s="36">
        <f t="shared" si="7"/>
        <v>0</v>
      </c>
    </row>
    <row r="27" spans="1:34" ht="21.6" customHeight="1" thickBot="1" x14ac:dyDescent="0.3">
      <c r="A27" s="31"/>
      <c r="B27" s="7"/>
      <c r="C27" s="7"/>
      <c r="D27" s="28"/>
      <c r="AA27" s="34" t="b">
        <v>0</v>
      </c>
      <c r="AB27" s="34" t="b">
        <v>0</v>
      </c>
      <c r="AC27" s="35">
        <f t="shared" si="0"/>
        <v>0</v>
      </c>
      <c r="AD27" s="35">
        <f t="shared" si="6"/>
        <v>0</v>
      </c>
      <c r="AE27" s="35">
        <f t="shared" si="2"/>
        <v>0</v>
      </c>
      <c r="AF27" s="37">
        <f t="shared" si="3"/>
        <v>0</v>
      </c>
      <c r="AG27" s="37">
        <f t="shared" si="4"/>
        <v>0</v>
      </c>
      <c r="AH27" s="36" t="str">
        <f t="shared" si="7"/>
        <v/>
      </c>
    </row>
    <row r="28" spans="1:34" ht="21.6" customHeight="1" thickBot="1" x14ac:dyDescent="0.3">
      <c r="A28" s="15" t="s">
        <v>52</v>
      </c>
      <c r="B28" s="18">
        <f>AF28</f>
        <v>0</v>
      </c>
      <c r="C28" s="18">
        <f>AG28</f>
        <v>0</v>
      </c>
      <c r="AC28" s="35" t="str">
        <f t="shared" si="0"/>
        <v/>
      </c>
      <c r="AD28" s="35" t="str">
        <f t="shared" si="0"/>
        <v/>
      </c>
      <c r="AF28" s="38">
        <f>SUM(AF23:AF27)</f>
        <v>0</v>
      </c>
      <c r="AG28" s="38">
        <f>SUM(AG23:AG27)</f>
        <v>0</v>
      </c>
    </row>
    <row r="29" spans="1:34" ht="21.6" customHeight="1" thickBot="1" x14ac:dyDescent="0.3">
      <c r="A29" s="10" t="s">
        <v>0</v>
      </c>
      <c r="B29" s="11" t="s">
        <v>1</v>
      </c>
      <c r="C29" s="14" t="s">
        <v>2</v>
      </c>
      <c r="D29" s="12" t="s">
        <v>3</v>
      </c>
      <c r="AC29" s="35" t="str">
        <f t="shared" si="0"/>
        <v/>
      </c>
      <c r="AD29" s="35" t="str">
        <f t="shared" si="0"/>
        <v/>
      </c>
      <c r="AF29" s="37"/>
      <c r="AG29" s="37"/>
    </row>
    <row r="30" spans="1:34" ht="21.6" customHeight="1" x14ac:dyDescent="0.25">
      <c r="A30" s="13" t="s">
        <v>12</v>
      </c>
      <c r="B30" s="2"/>
      <c r="C30" s="2"/>
      <c r="D30" s="26"/>
      <c r="AA30" s="34" t="b">
        <v>1</v>
      </c>
      <c r="AB30" s="34" t="b">
        <v>0</v>
      </c>
      <c r="AC30" s="35">
        <f t="shared" si="0"/>
        <v>1</v>
      </c>
      <c r="AD30" s="35">
        <f>IF(AB30="","",IF(AB30=TRUE,0.5,0))</f>
        <v>0</v>
      </c>
      <c r="AE30" s="35">
        <f t="shared" si="2"/>
        <v>1</v>
      </c>
      <c r="AF30" s="37">
        <f t="shared" si="3"/>
        <v>1</v>
      </c>
      <c r="AG30" s="37">
        <f t="shared" si="4"/>
        <v>0</v>
      </c>
      <c r="AH30" s="36" t="str">
        <f>IF(AD30=0,"",IF(AD30=1,2,0))</f>
        <v/>
      </c>
    </row>
    <row r="31" spans="1:34" ht="21.6" customHeight="1" x14ac:dyDescent="0.25">
      <c r="A31" s="5" t="s">
        <v>13</v>
      </c>
      <c r="B31" s="2"/>
      <c r="C31" s="2"/>
      <c r="D31" s="27"/>
      <c r="AA31" s="34" t="b">
        <v>1</v>
      </c>
      <c r="AB31" s="34" t="b">
        <v>0</v>
      </c>
      <c r="AC31" s="35">
        <f t="shared" si="0"/>
        <v>1</v>
      </c>
      <c r="AD31" s="35">
        <f t="shared" ref="AD31:AD34" si="8">IF(AB31="","",IF(AB31=TRUE,0.5,0))</f>
        <v>0</v>
      </c>
      <c r="AE31" s="35">
        <f t="shared" si="2"/>
        <v>1</v>
      </c>
      <c r="AF31" s="37">
        <f t="shared" si="3"/>
        <v>1</v>
      </c>
      <c r="AG31" s="37">
        <f t="shared" si="4"/>
        <v>0</v>
      </c>
      <c r="AH31" s="36" t="str">
        <f t="shared" ref="AH31:AH34" si="9">IF(AD31=0,"",IF(AD31=1,2,0))</f>
        <v/>
      </c>
    </row>
    <row r="32" spans="1:34" ht="21.6" customHeight="1" x14ac:dyDescent="0.25">
      <c r="A32" s="5" t="s">
        <v>14</v>
      </c>
      <c r="B32" s="2"/>
      <c r="C32" s="2"/>
      <c r="D32" s="27"/>
      <c r="AA32" s="34" t="b">
        <v>0</v>
      </c>
      <c r="AB32" s="34" t="b">
        <v>1</v>
      </c>
      <c r="AC32" s="35">
        <f t="shared" si="0"/>
        <v>0</v>
      </c>
      <c r="AD32" s="35">
        <f t="shared" si="8"/>
        <v>0.5</v>
      </c>
      <c r="AE32" s="35">
        <f t="shared" si="2"/>
        <v>0.5</v>
      </c>
      <c r="AF32" s="37">
        <f t="shared" si="3"/>
        <v>0</v>
      </c>
      <c r="AG32" s="37">
        <f t="shared" si="4"/>
        <v>0</v>
      </c>
      <c r="AH32" s="36">
        <f t="shared" si="9"/>
        <v>0</v>
      </c>
    </row>
    <row r="33" spans="1:34" ht="21.6" customHeight="1" x14ac:dyDescent="0.25">
      <c r="A33" s="32" t="s">
        <v>15</v>
      </c>
      <c r="B33" s="2"/>
      <c r="C33" s="2"/>
      <c r="D33" s="30"/>
      <c r="AA33" s="34" t="b">
        <v>0</v>
      </c>
      <c r="AB33" s="34" t="b">
        <v>1</v>
      </c>
      <c r="AC33" s="35">
        <f t="shared" si="0"/>
        <v>0</v>
      </c>
      <c r="AD33" s="35">
        <f t="shared" si="8"/>
        <v>0.5</v>
      </c>
      <c r="AE33" s="35">
        <f t="shared" si="2"/>
        <v>0.5</v>
      </c>
      <c r="AF33" s="37">
        <f t="shared" si="3"/>
        <v>0</v>
      </c>
      <c r="AG33" s="37">
        <f t="shared" si="4"/>
        <v>0</v>
      </c>
      <c r="AH33" s="36">
        <f t="shared" si="9"/>
        <v>0</v>
      </c>
    </row>
    <row r="34" spans="1:34" ht="21.6" customHeight="1" thickBot="1" x14ac:dyDescent="0.3">
      <c r="A34" s="31"/>
      <c r="B34" s="7"/>
      <c r="C34" s="7"/>
      <c r="D34" s="28"/>
      <c r="AA34" s="34" t="b">
        <v>0</v>
      </c>
      <c r="AB34" s="34" t="b">
        <v>0</v>
      </c>
      <c r="AC34" s="35">
        <f t="shared" si="0"/>
        <v>0</v>
      </c>
      <c r="AD34" s="35">
        <f t="shared" si="8"/>
        <v>0</v>
      </c>
      <c r="AE34" s="35">
        <f t="shared" si="2"/>
        <v>0</v>
      </c>
      <c r="AF34" s="37">
        <f t="shared" si="3"/>
        <v>0</v>
      </c>
      <c r="AG34" s="37">
        <f t="shared" si="4"/>
        <v>0</v>
      </c>
      <c r="AH34" s="36" t="str">
        <f t="shared" si="9"/>
        <v/>
      </c>
    </row>
    <row r="35" spans="1:34" ht="21.6" customHeight="1" thickBot="1" x14ac:dyDescent="0.3">
      <c r="A35" s="15" t="s">
        <v>51</v>
      </c>
      <c r="B35" s="18">
        <f>AF35</f>
        <v>2</v>
      </c>
      <c r="C35" s="18">
        <f>AG35</f>
        <v>0</v>
      </c>
      <c r="AC35" s="35" t="str">
        <f t="shared" si="0"/>
        <v/>
      </c>
      <c r="AD35" s="35" t="str">
        <f t="shared" si="0"/>
        <v/>
      </c>
      <c r="AF35" s="38">
        <f>SUM(AF30:AF34)</f>
        <v>2</v>
      </c>
      <c r="AG35" s="38">
        <f>SUM(AG30:AG34)</f>
        <v>0</v>
      </c>
    </row>
    <row r="36" spans="1:34" ht="21.6" customHeight="1" thickBot="1" x14ac:dyDescent="0.3">
      <c r="A36" s="10" t="s">
        <v>0</v>
      </c>
      <c r="B36" s="11" t="s">
        <v>1</v>
      </c>
      <c r="C36" s="14" t="s">
        <v>2</v>
      </c>
      <c r="D36" s="12" t="s">
        <v>3</v>
      </c>
      <c r="AC36" s="35" t="str">
        <f t="shared" si="0"/>
        <v/>
      </c>
      <c r="AD36" s="35" t="str">
        <f t="shared" si="0"/>
        <v/>
      </c>
      <c r="AF36" s="37"/>
      <c r="AG36" s="37"/>
    </row>
    <row r="37" spans="1:34" ht="21.6" customHeight="1" x14ac:dyDescent="0.25">
      <c r="A37" s="13" t="s">
        <v>16</v>
      </c>
      <c r="B37" s="2"/>
      <c r="C37" s="2"/>
      <c r="D37" s="26"/>
      <c r="AA37" s="34" t="b">
        <v>1</v>
      </c>
      <c r="AB37" s="34" t="b">
        <v>0</v>
      </c>
      <c r="AC37" s="35">
        <f t="shared" si="0"/>
        <v>1</v>
      </c>
      <c r="AD37" s="35">
        <f>IF(AB37="","",IF(AB37=TRUE,0.5,0))</f>
        <v>0</v>
      </c>
      <c r="AE37" s="35">
        <f t="shared" si="2"/>
        <v>1</v>
      </c>
      <c r="AF37" s="37">
        <f t="shared" si="3"/>
        <v>1</v>
      </c>
      <c r="AG37" s="37">
        <f t="shared" si="4"/>
        <v>0</v>
      </c>
      <c r="AH37" s="36" t="str">
        <f>IF(AD37=0,"",IF(AD37=1,2,0))</f>
        <v/>
      </c>
    </row>
    <row r="38" spans="1:34" ht="21.6" customHeight="1" x14ac:dyDescent="0.25">
      <c r="A38" s="5" t="s">
        <v>17</v>
      </c>
      <c r="B38" s="2"/>
      <c r="C38" s="2"/>
      <c r="D38" s="27"/>
      <c r="AA38" s="34" t="b">
        <v>1</v>
      </c>
      <c r="AB38" s="34" t="b">
        <v>0</v>
      </c>
      <c r="AC38" s="35">
        <f t="shared" si="0"/>
        <v>1</v>
      </c>
      <c r="AD38" s="35">
        <f t="shared" ref="AD38:AD41" si="10">IF(AB38="","",IF(AB38=TRUE,0.5,0))</f>
        <v>0</v>
      </c>
      <c r="AE38" s="35">
        <f t="shared" si="2"/>
        <v>1</v>
      </c>
      <c r="AF38" s="37">
        <f t="shared" si="3"/>
        <v>1</v>
      </c>
      <c r="AG38" s="37">
        <f t="shared" si="4"/>
        <v>0</v>
      </c>
      <c r="AH38" s="36" t="str">
        <f t="shared" ref="AH38:AH41" si="11">IF(AD38=0,"",IF(AD38=1,2,0))</f>
        <v/>
      </c>
    </row>
    <row r="39" spans="1:34" ht="21.6" customHeight="1" x14ac:dyDescent="0.25">
      <c r="A39" s="5" t="s">
        <v>18</v>
      </c>
      <c r="B39" s="2"/>
      <c r="C39" s="2"/>
      <c r="D39" s="27"/>
      <c r="AA39" s="34" t="b">
        <v>1</v>
      </c>
      <c r="AB39" s="34" t="b">
        <v>0</v>
      </c>
      <c r="AC39" s="35">
        <f t="shared" si="0"/>
        <v>1</v>
      </c>
      <c r="AD39" s="35">
        <f t="shared" si="10"/>
        <v>0</v>
      </c>
      <c r="AE39" s="35">
        <f t="shared" si="2"/>
        <v>1</v>
      </c>
      <c r="AF39" s="37">
        <f t="shared" si="3"/>
        <v>1</v>
      </c>
      <c r="AG39" s="37">
        <f t="shared" si="4"/>
        <v>0</v>
      </c>
      <c r="AH39" s="36" t="str">
        <f t="shared" si="11"/>
        <v/>
      </c>
    </row>
    <row r="40" spans="1:34" ht="21.6" customHeight="1" x14ac:dyDescent="0.25">
      <c r="A40" s="32" t="s">
        <v>19</v>
      </c>
      <c r="B40" s="2"/>
      <c r="C40" s="2"/>
      <c r="D40" s="30"/>
      <c r="AA40" s="34" t="b">
        <v>1</v>
      </c>
      <c r="AB40" s="34" t="b">
        <v>0</v>
      </c>
      <c r="AC40" s="35">
        <f t="shared" si="0"/>
        <v>1</v>
      </c>
      <c r="AD40" s="35">
        <f t="shared" si="10"/>
        <v>0</v>
      </c>
      <c r="AE40" s="35">
        <f t="shared" si="2"/>
        <v>1</v>
      </c>
      <c r="AF40" s="37">
        <f t="shared" si="3"/>
        <v>1</v>
      </c>
      <c r="AG40" s="37">
        <f t="shared" si="4"/>
        <v>0</v>
      </c>
      <c r="AH40" s="36" t="str">
        <f t="shared" si="11"/>
        <v/>
      </c>
    </row>
    <row r="41" spans="1:34" ht="21.6" customHeight="1" thickBot="1" x14ac:dyDescent="0.3">
      <c r="A41" s="31"/>
      <c r="B41" s="7"/>
      <c r="C41" s="7"/>
      <c r="D41" s="28"/>
      <c r="AA41" s="34" t="b">
        <v>0</v>
      </c>
      <c r="AB41" s="34" t="b">
        <v>0</v>
      </c>
      <c r="AC41" s="35">
        <f t="shared" si="0"/>
        <v>0</v>
      </c>
      <c r="AD41" s="35">
        <f t="shared" si="10"/>
        <v>0</v>
      </c>
      <c r="AE41" s="35">
        <f t="shared" si="2"/>
        <v>0</v>
      </c>
      <c r="AF41" s="37">
        <f t="shared" si="3"/>
        <v>0</v>
      </c>
      <c r="AG41" s="37">
        <f t="shared" si="4"/>
        <v>0</v>
      </c>
      <c r="AH41" s="36" t="str">
        <f t="shared" si="11"/>
        <v/>
      </c>
    </row>
    <row r="42" spans="1:34" ht="21.6" customHeight="1" thickBot="1" x14ac:dyDescent="0.3">
      <c r="A42" s="17" t="s">
        <v>58</v>
      </c>
      <c r="B42" s="18">
        <f>AF42</f>
        <v>4</v>
      </c>
      <c r="C42" s="18">
        <f>AG42</f>
        <v>0</v>
      </c>
      <c r="AC42" s="35" t="str">
        <f t="shared" si="0"/>
        <v/>
      </c>
      <c r="AD42" s="35" t="str">
        <f t="shared" si="0"/>
        <v/>
      </c>
      <c r="AF42" s="38">
        <f>SUM(AF37:AF41)</f>
        <v>4</v>
      </c>
      <c r="AG42" s="38">
        <f>SUM(AG37:AG41)</f>
        <v>0</v>
      </c>
    </row>
    <row r="43" spans="1:34" ht="21.6" customHeight="1" thickBot="1" x14ac:dyDescent="0.3">
      <c r="A43" s="10" t="s">
        <v>0</v>
      </c>
      <c r="B43" s="11" t="s">
        <v>1</v>
      </c>
      <c r="C43" s="14" t="s">
        <v>2</v>
      </c>
      <c r="D43" s="12" t="s">
        <v>3</v>
      </c>
      <c r="AC43" s="35" t="str">
        <f t="shared" si="0"/>
        <v/>
      </c>
      <c r="AD43" s="35" t="str">
        <f t="shared" si="0"/>
        <v/>
      </c>
      <c r="AF43" s="37"/>
      <c r="AG43" s="37"/>
    </row>
    <row r="44" spans="1:34" ht="21.6" customHeight="1" x14ac:dyDescent="0.25">
      <c r="A44" s="13" t="s">
        <v>20</v>
      </c>
      <c r="B44" s="2"/>
      <c r="C44" s="2"/>
      <c r="D44" s="26"/>
      <c r="AA44" s="34" t="b">
        <v>1</v>
      </c>
      <c r="AB44" s="34" t="b">
        <v>0</v>
      </c>
      <c r="AC44" s="35">
        <f t="shared" si="0"/>
        <v>1</v>
      </c>
      <c r="AD44" s="35">
        <f>IF(AB44="","",IF(AB44=TRUE,0.5,0))</f>
        <v>0</v>
      </c>
      <c r="AE44" s="35">
        <f t="shared" si="2"/>
        <v>1</v>
      </c>
      <c r="AF44" s="37">
        <f t="shared" si="3"/>
        <v>1</v>
      </c>
      <c r="AG44" s="37">
        <f t="shared" si="4"/>
        <v>0</v>
      </c>
      <c r="AH44" s="36" t="str">
        <f>IF(AD44=0,"",IF(AD44=1,2,0))</f>
        <v/>
      </c>
    </row>
    <row r="45" spans="1:34" ht="21.6" customHeight="1" x14ac:dyDescent="0.25">
      <c r="A45" s="5" t="s">
        <v>21</v>
      </c>
      <c r="B45" s="2"/>
      <c r="C45" s="2"/>
      <c r="D45" s="27"/>
      <c r="AA45" s="34" t="b">
        <v>0</v>
      </c>
      <c r="AB45" s="34" t="b">
        <v>1</v>
      </c>
      <c r="AC45" s="35">
        <f t="shared" si="0"/>
        <v>0</v>
      </c>
      <c r="AD45" s="35">
        <f t="shared" ref="AD45:AD48" si="12">IF(AB45="","",IF(AB45=TRUE,0.5,0))</f>
        <v>0.5</v>
      </c>
      <c r="AE45" s="35">
        <f t="shared" si="2"/>
        <v>0.5</v>
      </c>
      <c r="AF45" s="37">
        <f t="shared" si="3"/>
        <v>0</v>
      </c>
      <c r="AG45" s="37">
        <f t="shared" si="4"/>
        <v>0</v>
      </c>
      <c r="AH45" s="36">
        <f t="shared" ref="AH45:AH48" si="13">IF(AD45=0,"",IF(AD45=1,2,0))</f>
        <v>0</v>
      </c>
    </row>
    <row r="46" spans="1:34" ht="21.6" customHeight="1" x14ac:dyDescent="0.25">
      <c r="A46" s="5" t="s">
        <v>22</v>
      </c>
      <c r="B46" s="2"/>
      <c r="C46" s="2"/>
      <c r="D46" s="27"/>
      <c r="AA46" s="34" t="b">
        <v>0</v>
      </c>
      <c r="AB46" s="34" t="b">
        <v>1</v>
      </c>
      <c r="AC46" s="35">
        <f t="shared" si="0"/>
        <v>0</v>
      </c>
      <c r="AD46" s="35">
        <f t="shared" si="12"/>
        <v>0.5</v>
      </c>
      <c r="AE46" s="35">
        <f t="shared" si="2"/>
        <v>0.5</v>
      </c>
      <c r="AF46" s="37">
        <f t="shared" si="3"/>
        <v>0</v>
      </c>
      <c r="AG46" s="37">
        <f t="shared" si="4"/>
        <v>0</v>
      </c>
      <c r="AH46" s="36">
        <f t="shared" si="13"/>
        <v>0</v>
      </c>
    </row>
    <row r="47" spans="1:34" ht="21.6" customHeight="1" x14ac:dyDescent="0.25">
      <c r="A47" s="32" t="s">
        <v>23</v>
      </c>
      <c r="B47" s="2"/>
      <c r="C47" s="2"/>
      <c r="D47" s="30"/>
      <c r="AA47" s="34" t="b">
        <v>1</v>
      </c>
      <c r="AB47" s="34" t="b">
        <v>0</v>
      </c>
      <c r="AC47" s="35">
        <f t="shared" si="0"/>
        <v>1</v>
      </c>
      <c r="AD47" s="35">
        <f t="shared" si="12"/>
        <v>0</v>
      </c>
      <c r="AE47" s="35">
        <f t="shared" si="2"/>
        <v>1</v>
      </c>
      <c r="AF47" s="37">
        <f t="shared" si="3"/>
        <v>1</v>
      </c>
      <c r="AG47" s="37">
        <f t="shared" si="4"/>
        <v>0</v>
      </c>
      <c r="AH47" s="36" t="str">
        <f t="shared" si="13"/>
        <v/>
      </c>
    </row>
    <row r="48" spans="1:34" ht="21.6" customHeight="1" thickBot="1" x14ac:dyDescent="0.3">
      <c r="A48" s="31"/>
      <c r="B48" s="7"/>
      <c r="C48" s="7"/>
      <c r="D48" s="28"/>
      <c r="AA48" s="34" t="b">
        <v>0</v>
      </c>
      <c r="AB48" s="34" t="b">
        <v>0</v>
      </c>
      <c r="AC48" s="35">
        <f t="shared" si="0"/>
        <v>0</v>
      </c>
      <c r="AD48" s="35">
        <f t="shared" si="12"/>
        <v>0</v>
      </c>
      <c r="AE48" s="35">
        <f t="shared" si="2"/>
        <v>0</v>
      </c>
      <c r="AF48" s="37">
        <f t="shared" si="3"/>
        <v>0</v>
      </c>
      <c r="AG48" s="37">
        <f t="shared" si="4"/>
        <v>0</v>
      </c>
      <c r="AH48" s="36" t="str">
        <f t="shared" si="13"/>
        <v/>
      </c>
    </row>
    <row r="49" spans="1:34" ht="21.6" customHeight="1" thickBot="1" x14ac:dyDescent="0.3">
      <c r="A49" s="17" t="s">
        <v>57</v>
      </c>
      <c r="B49" s="18">
        <f>AF49</f>
        <v>2</v>
      </c>
      <c r="C49" s="18">
        <f>AG49</f>
        <v>0</v>
      </c>
      <c r="AC49" s="35" t="str">
        <f t="shared" si="0"/>
        <v/>
      </c>
      <c r="AD49" s="35" t="str">
        <f t="shared" si="0"/>
        <v/>
      </c>
      <c r="AF49" s="38">
        <f>SUM(AF44:AF48)</f>
        <v>2</v>
      </c>
      <c r="AG49" s="38">
        <f>SUM(AG44:AG48)</f>
        <v>0</v>
      </c>
    </row>
    <row r="50" spans="1:34" ht="21.6" customHeight="1" thickBot="1" x14ac:dyDescent="0.3">
      <c r="A50" s="10" t="s">
        <v>0</v>
      </c>
      <c r="B50" s="11" t="s">
        <v>1</v>
      </c>
      <c r="C50" s="14" t="s">
        <v>2</v>
      </c>
      <c r="D50" s="12" t="s">
        <v>3</v>
      </c>
      <c r="AC50" s="35" t="str">
        <f t="shared" si="0"/>
        <v/>
      </c>
      <c r="AD50" s="35" t="str">
        <f t="shared" si="0"/>
        <v/>
      </c>
      <c r="AF50" s="37"/>
      <c r="AG50" s="37"/>
    </row>
    <row r="51" spans="1:34" ht="21.6" customHeight="1" x14ac:dyDescent="0.25">
      <c r="A51" s="13" t="s">
        <v>24</v>
      </c>
      <c r="B51" s="2"/>
      <c r="C51" s="2"/>
      <c r="D51" s="26"/>
      <c r="AA51" s="34" t="b">
        <v>0</v>
      </c>
      <c r="AB51" s="34" t="b">
        <v>1</v>
      </c>
      <c r="AC51" s="35">
        <f t="shared" si="0"/>
        <v>0</v>
      </c>
      <c r="AD51" s="35">
        <f>IF(AB51="","",IF(AB51=TRUE,0.5,0))</f>
        <v>0.5</v>
      </c>
      <c r="AE51" s="35">
        <f t="shared" si="2"/>
        <v>0.5</v>
      </c>
      <c r="AF51" s="37">
        <f t="shared" si="3"/>
        <v>0</v>
      </c>
      <c r="AG51" s="37">
        <f t="shared" si="4"/>
        <v>0</v>
      </c>
      <c r="AH51" s="36">
        <f>IF(AD51=0,"",IF(AD51=1,2,0))</f>
        <v>0</v>
      </c>
    </row>
    <row r="52" spans="1:34" ht="21.6" customHeight="1" x14ac:dyDescent="0.25">
      <c r="A52" s="5" t="s">
        <v>25</v>
      </c>
      <c r="B52" s="2"/>
      <c r="C52" s="2"/>
      <c r="D52" s="27"/>
      <c r="AA52" s="34" t="b">
        <v>0</v>
      </c>
      <c r="AB52" s="34" t="b">
        <v>1</v>
      </c>
      <c r="AC52" s="35">
        <f t="shared" si="0"/>
        <v>0</v>
      </c>
      <c r="AD52" s="35">
        <f t="shared" ref="AD52:AD55" si="14">IF(AB52="","",IF(AB52=TRUE,0.5,0))</f>
        <v>0.5</v>
      </c>
      <c r="AE52" s="35">
        <f t="shared" si="2"/>
        <v>0.5</v>
      </c>
      <c r="AF52" s="37">
        <f t="shared" si="3"/>
        <v>0</v>
      </c>
      <c r="AG52" s="37">
        <f t="shared" si="4"/>
        <v>0</v>
      </c>
      <c r="AH52" s="36">
        <f t="shared" ref="AH52:AH55" si="15">IF(AD52=0,"",IF(AD52=1,2,0))</f>
        <v>0</v>
      </c>
    </row>
    <row r="53" spans="1:34" ht="21.6" customHeight="1" x14ac:dyDescent="0.25">
      <c r="A53" s="5" t="s">
        <v>26</v>
      </c>
      <c r="B53" s="2"/>
      <c r="C53" s="2"/>
      <c r="D53" s="27"/>
      <c r="AA53" s="34" t="b">
        <v>1</v>
      </c>
      <c r="AB53" s="34" t="b">
        <v>0</v>
      </c>
      <c r="AC53" s="35">
        <f t="shared" si="0"/>
        <v>1</v>
      </c>
      <c r="AD53" s="35">
        <f t="shared" si="14"/>
        <v>0</v>
      </c>
      <c r="AE53" s="35">
        <f t="shared" si="2"/>
        <v>1</v>
      </c>
      <c r="AF53" s="37">
        <f t="shared" si="3"/>
        <v>1</v>
      </c>
      <c r="AG53" s="37">
        <f t="shared" si="4"/>
        <v>0</v>
      </c>
      <c r="AH53" s="36" t="str">
        <f t="shared" si="15"/>
        <v/>
      </c>
    </row>
    <row r="54" spans="1:34" ht="21.6" customHeight="1" x14ac:dyDescent="0.25">
      <c r="A54" s="5" t="s">
        <v>27</v>
      </c>
      <c r="B54" s="2"/>
      <c r="C54" s="2"/>
      <c r="D54" s="27"/>
      <c r="AA54" s="34" t="b">
        <v>1</v>
      </c>
      <c r="AB54" s="34" t="b">
        <v>0</v>
      </c>
      <c r="AC54" s="35">
        <f t="shared" si="0"/>
        <v>1</v>
      </c>
      <c r="AD54" s="35">
        <f t="shared" si="14"/>
        <v>0</v>
      </c>
      <c r="AE54" s="35">
        <f t="shared" si="2"/>
        <v>1</v>
      </c>
      <c r="AF54" s="37">
        <f t="shared" si="3"/>
        <v>1</v>
      </c>
      <c r="AG54" s="37">
        <f t="shared" si="4"/>
        <v>0</v>
      </c>
      <c r="AH54" s="36" t="str">
        <f t="shared" si="15"/>
        <v/>
      </c>
    </row>
    <row r="55" spans="1:34" ht="21.6" customHeight="1" thickBot="1" x14ac:dyDescent="0.3">
      <c r="A55" s="6" t="s">
        <v>28</v>
      </c>
      <c r="B55" s="7"/>
      <c r="C55" s="7"/>
      <c r="D55" s="28"/>
      <c r="AA55" s="34" t="b">
        <v>0</v>
      </c>
      <c r="AB55" s="34" t="b">
        <v>1</v>
      </c>
      <c r="AC55" s="35">
        <f t="shared" si="0"/>
        <v>0</v>
      </c>
      <c r="AD55" s="35">
        <f t="shared" si="14"/>
        <v>0.5</v>
      </c>
      <c r="AE55" s="35">
        <f t="shared" si="2"/>
        <v>0.5</v>
      </c>
      <c r="AF55" s="37">
        <f t="shared" si="3"/>
        <v>0</v>
      </c>
      <c r="AG55" s="37">
        <f t="shared" si="4"/>
        <v>0</v>
      </c>
      <c r="AH55" s="36">
        <f t="shared" si="15"/>
        <v>0</v>
      </c>
    </row>
    <row r="56" spans="1:34" ht="21.6" customHeight="1" thickBot="1" x14ac:dyDescent="0.3">
      <c r="A56" s="15" t="s">
        <v>47</v>
      </c>
      <c r="B56" s="18">
        <f>AF56</f>
        <v>2</v>
      </c>
      <c r="C56" s="18">
        <f>AG56</f>
        <v>0</v>
      </c>
      <c r="AC56" s="35" t="str">
        <f t="shared" si="0"/>
        <v/>
      </c>
      <c r="AD56" s="35" t="str">
        <f t="shared" si="0"/>
        <v/>
      </c>
      <c r="AF56" s="38">
        <f>SUM(AF51:AF55)</f>
        <v>2</v>
      </c>
      <c r="AG56" s="38">
        <f>SUM(AG51:AG55)</f>
        <v>0</v>
      </c>
    </row>
    <row r="57" spans="1:34" ht="21.6" customHeight="1" thickBot="1" x14ac:dyDescent="0.3">
      <c r="A57" s="10" t="s">
        <v>0</v>
      </c>
      <c r="B57" s="11" t="s">
        <v>1</v>
      </c>
      <c r="C57" s="14" t="s">
        <v>2</v>
      </c>
      <c r="D57" s="12" t="s">
        <v>3</v>
      </c>
      <c r="AC57" s="35" t="str">
        <f t="shared" si="0"/>
        <v/>
      </c>
      <c r="AD57" s="35" t="str">
        <f t="shared" si="0"/>
        <v/>
      </c>
      <c r="AF57" s="37"/>
      <c r="AG57" s="37"/>
    </row>
    <row r="58" spans="1:34" ht="21.6" customHeight="1" x14ac:dyDescent="0.25">
      <c r="A58" s="13" t="s">
        <v>29</v>
      </c>
      <c r="B58" s="2"/>
      <c r="C58" s="2"/>
      <c r="D58" s="26"/>
      <c r="AA58" s="34" t="b">
        <v>1</v>
      </c>
      <c r="AB58" s="34" t="b">
        <v>0</v>
      </c>
      <c r="AC58" s="35">
        <f t="shared" si="0"/>
        <v>1</v>
      </c>
      <c r="AD58" s="35">
        <f>IF(AB58="","",IF(AB58=TRUE,0.5,0))</f>
        <v>0</v>
      </c>
      <c r="AE58" s="35">
        <f t="shared" si="2"/>
        <v>1</v>
      </c>
      <c r="AF58" s="37">
        <f t="shared" si="3"/>
        <v>1</v>
      </c>
      <c r="AG58" s="37">
        <f t="shared" si="4"/>
        <v>0</v>
      </c>
      <c r="AH58" s="36" t="str">
        <f>IF(AD58=0,"",IF(AD58=1,2,0))</f>
        <v/>
      </c>
    </row>
    <row r="59" spans="1:34" ht="21.6" customHeight="1" x14ac:dyDescent="0.25">
      <c r="A59" s="5" t="s">
        <v>30</v>
      </c>
      <c r="B59" s="2"/>
      <c r="C59" s="2"/>
      <c r="D59" s="27"/>
      <c r="AA59" s="34" t="b">
        <v>0</v>
      </c>
      <c r="AB59" s="34" t="b">
        <v>1</v>
      </c>
      <c r="AC59" s="35">
        <f t="shared" si="0"/>
        <v>0</v>
      </c>
      <c r="AD59" s="35">
        <f t="shared" ref="AD59:AD62" si="16">IF(AB59="","",IF(AB59=TRUE,0.5,0))</f>
        <v>0.5</v>
      </c>
      <c r="AE59" s="35">
        <f t="shared" si="2"/>
        <v>0.5</v>
      </c>
      <c r="AF59" s="37">
        <f t="shared" si="3"/>
        <v>0</v>
      </c>
      <c r="AG59" s="37">
        <f t="shared" si="4"/>
        <v>0</v>
      </c>
      <c r="AH59" s="36">
        <f t="shared" ref="AH59:AH62" si="17">IF(AD59=0,"",IF(AD59=1,2,0))</f>
        <v>0</v>
      </c>
    </row>
    <row r="60" spans="1:34" ht="21.6" customHeight="1" x14ac:dyDescent="0.25">
      <c r="A60" s="5" t="s">
        <v>31</v>
      </c>
      <c r="B60" s="2"/>
      <c r="C60" s="2"/>
      <c r="D60" s="27"/>
      <c r="AA60" s="34" t="b">
        <v>1</v>
      </c>
      <c r="AB60" s="34" t="b">
        <v>0</v>
      </c>
      <c r="AC60" s="35">
        <f t="shared" si="0"/>
        <v>1</v>
      </c>
      <c r="AD60" s="35">
        <f t="shared" si="16"/>
        <v>0</v>
      </c>
      <c r="AE60" s="35">
        <f t="shared" si="2"/>
        <v>1</v>
      </c>
      <c r="AF60" s="37">
        <f t="shared" si="3"/>
        <v>1</v>
      </c>
      <c r="AG60" s="37">
        <f t="shared" si="4"/>
        <v>0</v>
      </c>
      <c r="AH60" s="36" t="str">
        <f t="shared" si="17"/>
        <v/>
      </c>
    </row>
    <row r="61" spans="1:34" ht="21.6" customHeight="1" x14ac:dyDescent="0.25">
      <c r="A61" s="32" t="s">
        <v>32</v>
      </c>
      <c r="B61" s="2"/>
      <c r="C61" s="2"/>
      <c r="D61" s="30"/>
      <c r="AA61" s="34" t="b">
        <v>0</v>
      </c>
      <c r="AB61" s="34" t="b">
        <v>1</v>
      </c>
      <c r="AC61" s="35">
        <f t="shared" si="0"/>
        <v>0</v>
      </c>
      <c r="AD61" s="35">
        <f t="shared" si="16"/>
        <v>0.5</v>
      </c>
      <c r="AE61" s="35">
        <f t="shared" si="2"/>
        <v>0.5</v>
      </c>
      <c r="AF61" s="37">
        <f t="shared" si="3"/>
        <v>0</v>
      </c>
      <c r="AG61" s="37">
        <f t="shared" si="4"/>
        <v>0</v>
      </c>
      <c r="AH61" s="36">
        <f t="shared" si="17"/>
        <v>0</v>
      </c>
    </row>
    <row r="62" spans="1:34" ht="21.6" customHeight="1" thickBot="1" x14ac:dyDescent="0.3">
      <c r="A62" s="31"/>
      <c r="B62" s="7"/>
      <c r="C62" s="7"/>
      <c r="D62" s="28"/>
      <c r="AA62" s="34" t="b">
        <v>0</v>
      </c>
      <c r="AB62" s="34" t="b">
        <v>0</v>
      </c>
      <c r="AC62" s="35">
        <f t="shared" si="0"/>
        <v>0</v>
      </c>
      <c r="AD62" s="35">
        <f t="shared" si="16"/>
        <v>0</v>
      </c>
      <c r="AE62" s="35">
        <f t="shared" si="2"/>
        <v>0</v>
      </c>
      <c r="AF62" s="37">
        <f t="shared" si="3"/>
        <v>0</v>
      </c>
      <c r="AG62" s="37">
        <f t="shared" si="4"/>
        <v>0</v>
      </c>
      <c r="AH62" s="36" t="str">
        <f t="shared" si="17"/>
        <v/>
      </c>
    </row>
    <row r="63" spans="1:34" ht="21.6" customHeight="1" thickBot="1" x14ac:dyDescent="0.3">
      <c r="A63" s="15" t="s">
        <v>48</v>
      </c>
      <c r="B63" s="18">
        <f>AF63</f>
        <v>2</v>
      </c>
      <c r="C63" s="18">
        <f>AG63</f>
        <v>0</v>
      </c>
      <c r="AC63" s="35" t="str">
        <f t="shared" si="0"/>
        <v/>
      </c>
      <c r="AD63" s="35" t="str">
        <f t="shared" si="0"/>
        <v/>
      </c>
      <c r="AF63" s="38">
        <f>SUM(AF58:AF62)</f>
        <v>2</v>
      </c>
      <c r="AG63" s="38">
        <f>SUM(AG58:AG62)</f>
        <v>0</v>
      </c>
    </row>
    <row r="64" spans="1:34" ht="21.6" customHeight="1" thickBot="1" x14ac:dyDescent="0.3">
      <c r="A64" s="10" t="s">
        <v>0</v>
      </c>
      <c r="B64" s="11" t="s">
        <v>1</v>
      </c>
      <c r="C64" s="14" t="s">
        <v>2</v>
      </c>
      <c r="D64" s="12" t="s">
        <v>3</v>
      </c>
      <c r="AC64" s="35" t="str">
        <f t="shared" si="0"/>
        <v/>
      </c>
      <c r="AD64" s="35" t="str">
        <f t="shared" si="0"/>
        <v/>
      </c>
      <c r="AF64" s="37"/>
      <c r="AG64" s="37"/>
    </row>
    <row r="65" spans="1:34" ht="21.6" customHeight="1" x14ac:dyDescent="0.25">
      <c r="A65" s="13" t="s">
        <v>33</v>
      </c>
      <c r="B65" s="2"/>
      <c r="C65" s="2"/>
      <c r="D65" s="26"/>
      <c r="AA65" s="34" t="b">
        <v>1</v>
      </c>
      <c r="AB65" s="34" t="b">
        <v>0</v>
      </c>
      <c r="AC65" s="35">
        <f t="shared" si="0"/>
        <v>1</v>
      </c>
      <c r="AD65" s="35">
        <f>IF(AB65="","",IF(AB65=TRUE,0.5,0))</f>
        <v>0</v>
      </c>
      <c r="AE65" s="35">
        <f t="shared" si="2"/>
        <v>1</v>
      </c>
      <c r="AF65" s="37">
        <f t="shared" si="3"/>
        <v>1</v>
      </c>
      <c r="AG65" s="37">
        <f t="shared" si="4"/>
        <v>0</v>
      </c>
      <c r="AH65" s="36" t="str">
        <f>IF(AD65=0,"",IF(AD65=1,2,0))</f>
        <v/>
      </c>
    </row>
    <row r="66" spans="1:34" ht="21.6" customHeight="1" x14ac:dyDescent="0.25">
      <c r="A66" s="5" t="s">
        <v>34</v>
      </c>
      <c r="B66" s="2"/>
      <c r="C66" s="2"/>
      <c r="D66" s="27"/>
      <c r="AA66" s="34" t="b">
        <v>1</v>
      </c>
      <c r="AB66" s="34" t="b">
        <v>0</v>
      </c>
      <c r="AC66" s="35">
        <f t="shared" si="0"/>
        <v>1</v>
      </c>
      <c r="AD66" s="35">
        <f t="shared" ref="AD66:AD69" si="18">IF(AB66="","",IF(AB66=TRUE,0.5,0))</f>
        <v>0</v>
      </c>
      <c r="AE66" s="35">
        <f t="shared" si="2"/>
        <v>1</v>
      </c>
      <c r="AF66" s="37">
        <f t="shared" si="3"/>
        <v>1</v>
      </c>
      <c r="AG66" s="37">
        <f t="shared" si="4"/>
        <v>0</v>
      </c>
      <c r="AH66" s="36" t="str">
        <f t="shared" ref="AH66:AH69" si="19">IF(AD66=0,"",IF(AD66=1,2,0))</f>
        <v/>
      </c>
    </row>
    <row r="67" spans="1:34" ht="21.6" customHeight="1" x14ac:dyDescent="0.25">
      <c r="A67" s="5" t="s">
        <v>35</v>
      </c>
      <c r="B67" s="2"/>
      <c r="C67" s="2"/>
      <c r="D67" s="27"/>
      <c r="AA67" s="34" t="b">
        <v>1</v>
      </c>
      <c r="AB67" s="34" t="b">
        <v>0</v>
      </c>
      <c r="AC67" s="35">
        <f t="shared" si="0"/>
        <v>1</v>
      </c>
      <c r="AD67" s="35">
        <f t="shared" si="18"/>
        <v>0</v>
      </c>
      <c r="AE67" s="35">
        <f t="shared" si="2"/>
        <v>1</v>
      </c>
      <c r="AF67" s="37">
        <f t="shared" si="3"/>
        <v>1</v>
      </c>
      <c r="AG67" s="37">
        <f t="shared" si="4"/>
        <v>0</v>
      </c>
      <c r="AH67" s="36" t="str">
        <f t="shared" si="19"/>
        <v/>
      </c>
    </row>
    <row r="68" spans="1:34" ht="21.6" customHeight="1" x14ac:dyDescent="0.25">
      <c r="A68" s="5" t="s">
        <v>36</v>
      </c>
      <c r="B68" s="2"/>
      <c r="C68" s="2"/>
      <c r="D68" s="27"/>
      <c r="AA68" s="34" t="b">
        <v>1</v>
      </c>
      <c r="AB68" s="34" t="b">
        <v>0</v>
      </c>
      <c r="AC68" s="35">
        <f t="shared" si="0"/>
        <v>1</v>
      </c>
      <c r="AD68" s="35">
        <f t="shared" si="18"/>
        <v>0</v>
      </c>
      <c r="AE68" s="35">
        <f t="shared" si="2"/>
        <v>1</v>
      </c>
      <c r="AF68" s="37">
        <f t="shared" si="3"/>
        <v>1</v>
      </c>
      <c r="AG68" s="37">
        <f t="shared" si="4"/>
        <v>0</v>
      </c>
      <c r="AH68" s="36" t="str">
        <f t="shared" si="19"/>
        <v/>
      </c>
    </row>
    <row r="69" spans="1:34" ht="21.6" customHeight="1" thickBot="1" x14ac:dyDescent="0.3">
      <c r="A69" s="6" t="s">
        <v>37</v>
      </c>
      <c r="B69" s="7"/>
      <c r="C69" s="7"/>
      <c r="D69" s="28"/>
      <c r="AA69" s="34" t="b">
        <v>1</v>
      </c>
      <c r="AB69" s="34" t="b">
        <v>0</v>
      </c>
      <c r="AC69" s="35">
        <f t="shared" si="0"/>
        <v>1</v>
      </c>
      <c r="AD69" s="35">
        <f t="shared" si="18"/>
        <v>0</v>
      </c>
      <c r="AE69" s="35">
        <f t="shared" si="2"/>
        <v>1</v>
      </c>
      <c r="AF69" s="37">
        <f t="shared" si="3"/>
        <v>1</v>
      </c>
      <c r="AG69" s="37">
        <f t="shared" si="4"/>
        <v>0</v>
      </c>
      <c r="AH69" s="36" t="str">
        <f t="shared" si="19"/>
        <v/>
      </c>
    </row>
    <row r="70" spans="1:34" ht="21.6" customHeight="1" thickBot="1" x14ac:dyDescent="0.3">
      <c r="A70" s="15" t="s">
        <v>49</v>
      </c>
      <c r="B70" s="18">
        <f>AF70</f>
        <v>5</v>
      </c>
      <c r="C70" s="18">
        <f>AG70</f>
        <v>0</v>
      </c>
      <c r="AC70" s="35" t="str">
        <f t="shared" si="0"/>
        <v/>
      </c>
      <c r="AD70" s="35" t="str">
        <f t="shared" si="0"/>
        <v/>
      </c>
      <c r="AF70" s="38">
        <f>SUM(AF65:AF69)</f>
        <v>5</v>
      </c>
      <c r="AG70" s="38">
        <f>SUM(AG65:AG69)</f>
        <v>0</v>
      </c>
    </row>
    <row r="71" spans="1:34" ht="21.6" customHeight="1" thickBot="1" x14ac:dyDescent="0.3">
      <c r="A71" s="10" t="s">
        <v>0</v>
      </c>
      <c r="B71" s="11" t="s">
        <v>1</v>
      </c>
      <c r="C71" s="14" t="s">
        <v>2</v>
      </c>
      <c r="D71" s="12" t="s">
        <v>3</v>
      </c>
      <c r="AC71" s="35" t="str">
        <f t="shared" si="0"/>
        <v/>
      </c>
      <c r="AD71" s="35" t="str">
        <f t="shared" si="0"/>
        <v/>
      </c>
      <c r="AF71" s="37"/>
      <c r="AG71" s="37"/>
    </row>
    <row r="72" spans="1:34" ht="21.6" customHeight="1" x14ac:dyDescent="0.25">
      <c r="A72" s="13" t="s">
        <v>38</v>
      </c>
      <c r="B72" s="2"/>
      <c r="C72" s="2"/>
      <c r="D72" s="26"/>
      <c r="AA72" s="34" t="b">
        <v>1</v>
      </c>
      <c r="AB72" s="34" t="b">
        <v>0</v>
      </c>
      <c r="AC72" s="35">
        <f t="shared" si="0"/>
        <v>1</v>
      </c>
      <c r="AD72" s="35">
        <f>IF(AB72="","",IF(AB72=TRUE,0.5,0))</f>
        <v>0</v>
      </c>
      <c r="AE72" s="35">
        <f t="shared" si="2"/>
        <v>1</v>
      </c>
      <c r="AF72" s="37">
        <f t="shared" si="3"/>
        <v>1</v>
      </c>
      <c r="AG72" s="37">
        <f t="shared" si="4"/>
        <v>0</v>
      </c>
      <c r="AH72" s="36" t="str">
        <f>IF(AD72=0,"",IF(AD72=1,2,0))</f>
        <v/>
      </c>
    </row>
    <row r="73" spans="1:34" ht="21.6" customHeight="1" x14ac:dyDescent="0.25">
      <c r="A73" s="5" t="s">
        <v>39</v>
      </c>
      <c r="B73" s="2"/>
      <c r="C73" s="2"/>
      <c r="D73" s="27"/>
      <c r="AA73" s="34" t="b">
        <v>1</v>
      </c>
      <c r="AB73" s="34" t="b">
        <v>0</v>
      </c>
      <c r="AC73" s="35">
        <f t="shared" si="0"/>
        <v>1</v>
      </c>
      <c r="AD73" s="35">
        <f t="shared" ref="AD73:AD76" si="20">IF(AB73="","",IF(AB73=TRUE,0.5,0))</f>
        <v>0</v>
      </c>
      <c r="AE73" s="35">
        <f t="shared" si="2"/>
        <v>1</v>
      </c>
      <c r="AF73" s="37">
        <f t="shared" si="3"/>
        <v>1</v>
      </c>
      <c r="AG73" s="37">
        <f t="shared" si="4"/>
        <v>0</v>
      </c>
      <c r="AH73" s="36" t="str">
        <f t="shared" ref="AH73:AH76" si="21">IF(AD73=0,"",IF(AD73=1,2,0))</f>
        <v/>
      </c>
    </row>
    <row r="74" spans="1:34" ht="21.6" customHeight="1" x14ac:dyDescent="0.25">
      <c r="A74" s="5" t="s">
        <v>40</v>
      </c>
      <c r="B74" s="2"/>
      <c r="C74" s="2"/>
      <c r="D74" s="27"/>
      <c r="AA74" s="34" t="b">
        <v>0</v>
      </c>
      <c r="AB74" s="34" t="b">
        <v>1</v>
      </c>
      <c r="AC74" s="35">
        <f t="shared" si="0"/>
        <v>0</v>
      </c>
      <c r="AD74" s="35">
        <f t="shared" si="20"/>
        <v>0.5</v>
      </c>
      <c r="AE74" s="35">
        <f t="shared" si="2"/>
        <v>0.5</v>
      </c>
      <c r="AF74" s="37">
        <f t="shared" si="3"/>
        <v>0</v>
      </c>
      <c r="AG74" s="37">
        <f t="shared" si="4"/>
        <v>0</v>
      </c>
      <c r="AH74" s="36">
        <f t="shared" si="21"/>
        <v>0</v>
      </c>
    </row>
    <row r="75" spans="1:34" ht="21.6" customHeight="1" x14ac:dyDescent="0.25">
      <c r="A75" s="32" t="s">
        <v>41</v>
      </c>
      <c r="B75" s="2"/>
      <c r="C75" s="2"/>
      <c r="D75" s="30"/>
      <c r="AA75" s="34" t="b">
        <v>0</v>
      </c>
      <c r="AB75" s="34" t="b">
        <v>1</v>
      </c>
      <c r="AC75" s="35">
        <f t="shared" si="0"/>
        <v>0</v>
      </c>
      <c r="AD75" s="35">
        <f t="shared" si="20"/>
        <v>0.5</v>
      </c>
      <c r="AE75" s="35">
        <f t="shared" si="2"/>
        <v>0.5</v>
      </c>
      <c r="AF75" s="37">
        <f t="shared" si="3"/>
        <v>0</v>
      </c>
      <c r="AG75" s="37">
        <f t="shared" si="4"/>
        <v>0</v>
      </c>
      <c r="AH75" s="36">
        <f t="shared" si="21"/>
        <v>0</v>
      </c>
    </row>
    <row r="76" spans="1:34" ht="21.6" customHeight="1" thickBot="1" x14ac:dyDescent="0.3">
      <c r="A76" s="31"/>
      <c r="B76" s="7"/>
      <c r="C76" s="7"/>
      <c r="D76" s="28"/>
      <c r="AA76" s="34" t="b">
        <v>0</v>
      </c>
      <c r="AB76" s="34" t="b">
        <v>0</v>
      </c>
      <c r="AC76" s="35">
        <f t="shared" si="0"/>
        <v>0</v>
      </c>
      <c r="AD76" s="35">
        <f t="shared" si="20"/>
        <v>0</v>
      </c>
      <c r="AE76" s="35">
        <f t="shared" si="2"/>
        <v>0</v>
      </c>
      <c r="AF76" s="37">
        <f t="shared" si="3"/>
        <v>0</v>
      </c>
      <c r="AG76" s="37">
        <f t="shared" si="4"/>
        <v>0</v>
      </c>
      <c r="AH76" s="36" t="str">
        <f t="shared" si="21"/>
        <v/>
      </c>
    </row>
    <row r="77" spans="1:34" ht="21.6" customHeight="1" x14ac:dyDescent="0.25">
      <c r="A77" s="15" t="s">
        <v>50</v>
      </c>
      <c r="B77" s="18">
        <f>AF77</f>
        <v>2</v>
      </c>
      <c r="C77" s="18">
        <f>AG77</f>
        <v>0</v>
      </c>
      <c r="AF77" s="38">
        <f>SUM(AF71:AF76)</f>
        <v>2</v>
      </c>
      <c r="AG77" s="38">
        <f>SUM(AG71:AG76)</f>
        <v>0</v>
      </c>
    </row>
    <row r="78" spans="1:34" ht="16.05" customHeight="1" x14ac:dyDescent="0.25">
      <c r="A78" s="1" t="s">
        <v>42</v>
      </c>
    </row>
    <row r="79" spans="1:34" ht="41.55" customHeight="1" x14ac:dyDescent="0.25">
      <c r="A79" s="84"/>
      <c r="B79" s="85"/>
      <c r="C79" s="85"/>
      <c r="D79" s="86"/>
      <c r="AF79" s="38">
        <f>SUM(AF21,AF28,AF35,AF42,AF49,AF56,AF63,AF70,AF77)</f>
        <v>23</v>
      </c>
      <c r="AG79" s="38">
        <f>SUM(AG21,AG28,AG35,AG42,AG49,AG56,AG63,AG70,AG77)</f>
        <v>0</v>
      </c>
    </row>
    <row r="80" spans="1:34" ht="21.6" customHeight="1" x14ac:dyDescent="0.25">
      <c r="A80" t="s">
        <v>43</v>
      </c>
    </row>
    <row r="81" spans="1:4" ht="41.55" customHeight="1" x14ac:dyDescent="0.25">
      <c r="A81" s="84"/>
      <c r="B81" s="85"/>
      <c r="C81" s="85"/>
      <c r="D81" s="86"/>
    </row>
    <row r="82" spans="1:4" ht="21.6" customHeight="1" x14ac:dyDescent="0.25">
      <c r="A82" t="s">
        <v>44</v>
      </c>
    </row>
    <row r="83" spans="1:4" ht="41.55" customHeight="1" x14ac:dyDescent="0.25">
      <c r="A83" s="84"/>
      <c r="B83" s="85"/>
      <c r="C83" s="85"/>
      <c r="D83" s="86"/>
    </row>
    <row r="85" spans="1:4" x14ac:dyDescent="0.25">
      <c r="A85" s="19" t="s">
        <v>62</v>
      </c>
      <c r="B85" s="19" t="s">
        <v>64</v>
      </c>
    </row>
    <row r="87" spans="1:4" ht="13.8" x14ac:dyDescent="0.25">
      <c r="A87" s="20" t="s">
        <v>66</v>
      </c>
      <c r="B87" s="21"/>
      <c r="C87" s="74" t="s">
        <v>68</v>
      </c>
      <c r="D87" s="74"/>
    </row>
    <row r="88" spans="1:4" x14ac:dyDescent="0.25">
      <c r="A88" s="22" t="s">
        <v>65</v>
      </c>
      <c r="C88" s="75" t="s">
        <v>69</v>
      </c>
      <c r="D88" s="75"/>
    </row>
    <row r="91" spans="1:4" ht="13.8" x14ac:dyDescent="0.25">
      <c r="C91" s="74" t="s">
        <v>63</v>
      </c>
      <c r="D91" s="74"/>
    </row>
    <row r="92" spans="1:4" x14ac:dyDescent="0.25">
      <c r="C92" s="75" t="s">
        <v>67</v>
      </c>
      <c r="D92" s="75"/>
    </row>
  </sheetData>
  <sheetProtection algorithmName="SHA-512" hashValue="WzZ9a2Sq2QqsPZYXdJx2unuLhbnnN6wUjfyjy7lspOBbMHXBNKoq4MnxLg3wYL4/QvQVXwN+fQIimctY4D8gpg==" saltValue="LY9k+DbXf+FNzjd/Bddx/g==" spinCount="100000" sheet="1" formatCells="0" formatColumns="0" formatRows="0"/>
  <mergeCells count="15">
    <mergeCell ref="B11:D11"/>
    <mergeCell ref="A5:D5"/>
    <mergeCell ref="A6:D6"/>
    <mergeCell ref="A7:D7"/>
    <mergeCell ref="A8:D8"/>
    <mergeCell ref="A10:D10"/>
    <mergeCell ref="C88:D88"/>
    <mergeCell ref="C91:D91"/>
    <mergeCell ref="C92:D92"/>
    <mergeCell ref="B12:D12"/>
    <mergeCell ref="B13:D13"/>
    <mergeCell ref="A79:D79"/>
    <mergeCell ref="A81:D81"/>
    <mergeCell ref="A83:D83"/>
    <mergeCell ref="C87:D87"/>
  </mergeCells>
  <conditionalFormatting sqref="B16:C16">
    <cfRule type="expression" dxfId="134" priority="45">
      <formula>$AE$16&gt;1</formula>
    </cfRule>
  </conditionalFormatting>
  <conditionalFormatting sqref="B17:C17">
    <cfRule type="expression" dxfId="133" priority="44">
      <formula>$AE$17&gt;1</formula>
    </cfRule>
  </conditionalFormatting>
  <conditionalFormatting sqref="B18:C18">
    <cfRule type="expression" dxfId="132" priority="7">
      <formula>$AE$18&gt;1</formula>
    </cfRule>
  </conditionalFormatting>
  <conditionalFormatting sqref="B19:C19">
    <cfRule type="expression" dxfId="131" priority="42">
      <formula>$AE$19&gt;1</formula>
    </cfRule>
  </conditionalFormatting>
  <conditionalFormatting sqref="B20:C20">
    <cfRule type="expression" dxfId="130" priority="43">
      <formula>$AE$20&gt;1</formula>
    </cfRule>
  </conditionalFormatting>
  <conditionalFormatting sqref="B23:C23">
    <cfRule type="expression" dxfId="129" priority="41">
      <formula>$AE$23&gt;1</formula>
    </cfRule>
  </conditionalFormatting>
  <conditionalFormatting sqref="B24:C24">
    <cfRule type="expression" dxfId="128" priority="40">
      <formula>$AE$24&gt;1</formula>
    </cfRule>
  </conditionalFormatting>
  <conditionalFormatting sqref="B25:C25">
    <cfRule type="expression" dxfId="127" priority="6">
      <formula>$AE$25&gt;1</formula>
    </cfRule>
  </conditionalFormatting>
  <conditionalFormatting sqref="B26:C26">
    <cfRule type="expression" dxfId="126" priority="39">
      <formula>$AE$26&gt;1</formula>
    </cfRule>
  </conditionalFormatting>
  <conditionalFormatting sqref="B27:C27">
    <cfRule type="expression" dxfId="125" priority="38">
      <formula>$AE$27&gt;1</formula>
    </cfRule>
  </conditionalFormatting>
  <conditionalFormatting sqref="B30:C30">
    <cfRule type="expression" dxfId="124" priority="37">
      <formula>$AE$30&gt;1</formula>
    </cfRule>
  </conditionalFormatting>
  <conditionalFormatting sqref="B31:C31">
    <cfRule type="expression" dxfId="123" priority="36">
      <formula>$AE$31&gt;1</formula>
    </cfRule>
  </conditionalFormatting>
  <conditionalFormatting sqref="B32:C32">
    <cfRule type="expression" dxfId="122" priority="35">
      <formula>$AE$32&gt;1</formula>
    </cfRule>
  </conditionalFormatting>
  <conditionalFormatting sqref="B33:C33">
    <cfRule type="expression" dxfId="121" priority="5">
      <formula>$AE$33&gt;1</formula>
    </cfRule>
  </conditionalFormatting>
  <conditionalFormatting sqref="B34:C34">
    <cfRule type="expression" dxfId="120" priority="34">
      <formula>$AE$34&gt;1</formula>
    </cfRule>
  </conditionalFormatting>
  <conditionalFormatting sqref="B37:C37">
    <cfRule type="expression" dxfId="119" priority="33">
      <formula>$AE$37&gt;1</formula>
    </cfRule>
  </conditionalFormatting>
  <conditionalFormatting sqref="B38:C38">
    <cfRule type="expression" dxfId="118" priority="32">
      <formula>$AE$38&gt;1</formula>
    </cfRule>
  </conditionalFormatting>
  <conditionalFormatting sqref="B39:C39">
    <cfRule type="expression" dxfId="117" priority="4">
      <formula>$AE$39&gt;1</formula>
    </cfRule>
  </conditionalFormatting>
  <conditionalFormatting sqref="B40:C40">
    <cfRule type="expression" dxfId="116" priority="31">
      <formula>$AE$40&gt;1</formula>
    </cfRule>
  </conditionalFormatting>
  <conditionalFormatting sqref="B41:C41">
    <cfRule type="expression" dxfId="115" priority="30">
      <formula>$AE$41&gt;1</formula>
    </cfRule>
  </conditionalFormatting>
  <conditionalFormatting sqref="B44:C44">
    <cfRule type="expression" dxfId="114" priority="29">
      <formula>$AE$44&gt;1</formula>
    </cfRule>
  </conditionalFormatting>
  <conditionalFormatting sqref="B45:C45">
    <cfRule type="expression" dxfId="113" priority="28">
      <formula>$AE$45&gt;1</formula>
    </cfRule>
  </conditionalFormatting>
  <conditionalFormatting sqref="B46:C46">
    <cfRule type="expression" dxfId="112" priority="27">
      <formula>$AE$46&gt;1</formula>
    </cfRule>
  </conditionalFormatting>
  <conditionalFormatting sqref="B47:C47">
    <cfRule type="expression" dxfId="111" priority="3">
      <formula>$AE$47&gt;1</formula>
    </cfRule>
  </conditionalFormatting>
  <conditionalFormatting sqref="B48:C48">
    <cfRule type="expression" dxfId="110" priority="26">
      <formula>$AE$48&gt;1</formula>
    </cfRule>
  </conditionalFormatting>
  <conditionalFormatting sqref="B51:C51">
    <cfRule type="expression" dxfId="109" priority="25">
      <formula>$AE$51&gt;1</formula>
    </cfRule>
  </conditionalFormatting>
  <conditionalFormatting sqref="B52:C52">
    <cfRule type="expression" dxfId="108" priority="24">
      <formula>$AE$52&gt;1</formula>
    </cfRule>
  </conditionalFormatting>
  <conditionalFormatting sqref="B53:C53">
    <cfRule type="expression" dxfId="107" priority="23">
      <formula>$AE$53&gt;1</formula>
    </cfRule>
  </conditionalFormatting>
  <conditionalFormatting sqref="B54:C54">
    <cfRule type="expression" dxfId="106" priority="22">
      <formula>$AE$54&gt;1</formula>
    </cfRule>
  </conditionalFormatting>
  <conditionalFormatting sqref="B55:C55">
    <cfRule type="expression" dxfId="105" priority="21">
      <formula>$AE$55&gt;1</formula>
    </cfRule>
  </conditionalFormatting>
  <conditionalFormatting sqref="B58:C58">
    <cfRule type="expression" dxfId="104" priority="11">
      <formula>$AE$58&gt;1</formula>
    </cfRule>
  </conditionalFormatting>
  <conditionalFormatting sqref="B59:C59">
    <cfRule type="expression" dxfId="103" priority="10">
      <formula>$AE$59&gt;1</formula>
    </cfRule>
  </conditionalFormatting>
  <conditionalFormatting sqref="B60:C60">
    <cfRule type="expression" dxfId="102" priority="9">
      <formula>$AE$60&gt;1</formula>
    </cfRule>
  </conditionalFormatting>
  <conditionalFormatting sqref="B61:C61">
    <cfRule type="expression" dxfId="101" priority="2">
      <formula>$AE$61&gt;1</formula>
    </cfRule>
  </conditionalFormatting>
  <conditionalFormatting sqref="B62:C62">
    <cfRule type="expression" dxfId="100" priority="8">
      <formula>$AE$62&gt;1</formula>
    </cfRule>
  </conditionalFormatting>
  <conditionalFormatting sqref="B65:C65">
    <cfRule type="expression" dxfId="99" priority="20">
      <formula>$AE$65&gt;1</formula>
    </cfRule>
  </conditionalFormatting>
  <conditionalFormatting sqref="B66:C66">
    <cfRule type="expression" dxfId="98" priority="19">
      <formula>$AE$66&gt;1</formula>
    </cfRule>
  </conditionalFormatting>
  <conditionalFormatting sqref="B67:C67">
    <cfRule type="expression" dxfId="97" priority="18">
      <formula>$AE$67&gt;1</formula>
    </cfRule>
  </conditionalFormatting>
  <conditionalFormatting sqref="B68:C68">
    <cfRule type="expression" dxfId="96" priority="17">
      <formula>$AE$68&gt;1</formula>
    </cfRule>
  </conditionalFormatting>
  <conditionalFormatting sqref="B69:C69">
    <cfRule type="expression" dxfId="95" priority="16">
      <formula>$AE$69&gt;1</formula>
    </cfRule>
  </conditionalFormatting>
  <conditionalFormatting sqref="B72:C72">
    <cfRule type="expression" dxfId="94" priority="15">
      <formula>$AE$72&gt;1</formula>
    </cfRule>
  </conditionalFormatting>
  <conditionalFormatting sqref="B73:C73">
    <cfRule type="expression" dxfId="93" priority="14">
      <formula>$AE$73&gt;1</formula>
    </cfRule>
  </conditionalFormatting>
  <conditionalFormatting sqref="B74:C74">
    <cfRule type="expression" dxfId="92" priority="13">
      <formula>$AE$74&gt;1</formula>
    </cfRule>
  </conditionalFormatting>
  <conditionalFormatting sqref="B75:C75">
    <cfRule type="expression" dxfId="91" priority="1">
      <formula>$AE$75&gt;1</formula>
    </cfRule>
  </conditionalFormatting>
  <conditionalFormatting sqref="B76:C76">
    <cfRule type="expression" dxfId="90" priority="12">
      <formula>$AE$76&gt;1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68580</xdr:rowOff>
                  </from>
                  <to>
                    <xdr:col>1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68580</xdr:rowOff>
                  </from>
                  <to>
                    <xdr:col>1</xdr:col>
                    <xdr:colOff>320040</xdr:colOff>
                    <xdr:row>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68580</xdr:rowOff>
                  </from>
                  <to>
                    <xdr:col>1</xdr:col>
                    <xdr:colOff>297180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68580</xdr:rowOff>
                  </from>
                  <to>
                    <xdr:col>1</xdr:col>
                    <xdr:colOff>297180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68580</xdr:rowOff>
                  </from>
                  <to>
                    <xdr:col>1</xdr:col>
                    <xdr:colOff>281940</xdr:colOff>
                    <xdr:row>23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68580</xdr:rowOff>
                  </from>
                  <to>
                    <xdr:col>1</xdr:col>
                    <xdr:colOff>327660</xdr:colOff>
                    <xdr:row>24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68580</xdr:rowOff>
                  </from>
                  <to>
                    <xdr:col>1</xdr:col>
                    <xdr:colOff>297180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68580</xdr:rowOff>
                  </from>
                  <to>
                    <xdr:col>1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68580</xdr:rowOff>
                  </from>
                  <to>
                    <xdr:col>1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68580</xdr:rowOff>
                  </from>
                  <to>
                    <xdr:col>1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68580</xdr:rowOff>
                  </from>
                  <to>
                    <xdr:col>1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68580</xdr:rowOff>
                  </from>
                  <to>
                    <xdr:col>1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68580</xdr:rowOff>
                  </from>
                  <to>
                    <xdr:col>1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68580</xdr:rowOff>
                  </from>
                  <to>
                    <xdr:col>1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68580</xdr:rowOff>
                  </from>
                  <to>
                    <xdr:col>1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68580</xdr:rowOff>
                  </from>
                  <to>
                    <xdr:col>1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68580</xdr:rowOff>
                  </from>
                  <to>
                    <xdr:col>1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68580</xdr:rowOff>
                  </from>
                  <to>
                    <xdr:col>1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68580</xdr:rowOff>
                  </from>
                  <to>
                    <xdr:col>1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68580</xdr:rowOff>
                  </from>
                  <to>
                    <xdr:col>1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68580</xdr:rowOff>
                  </from>
                  <to>
                    <xdr:col>1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68580</xdr:rowOff>
                  </from>
                  <to>
                    <xdr:col>1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68580</xdr:rowOff>
                  </from>
                  <to>
                    <xdr:col>1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68580</xdr:rowOff>
                  </from>
                  <to>
                    <xdr:col>1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68580</xdr:rowOff>
                  </from>
                  <to>
                    <xdr:col>1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68580</xdr:rowOff>
                  </from>
                  <to>
                    <xdr:col>1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68580</xdr:rowOff>
                  </from>
                  <to>
                    <xdr:col>1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68580</xdr:rowOff>
                  </from>
                  <to>
                    <xdr:col>1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68580</xdr:rowOff>
                  </from>
                  <to>
                    <xdr:col>1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68580</xdr:rowOff>
                  </from>
                  <to>
                    <xdr:col>1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68580</xdr:rowOff>
                  </from>
                  <to>
                    <xdr:col>1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68580</xdr:rowOff>
                  </from>
                  <to>
                    <xdr:col>1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68580</xdr:rowOff>
                  </from>
                  <to>
                    <xdr:col>1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68580</xdr:rowOff>
                  </from>
                  <to>
                    <xdr:col>1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68580</xdr:rowOff>
                  </from>
                  <to>
                    <xdr:col>1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68580</xdr:rowOff>
                  </from>
                  <to>
                    <xdr:col>1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68580</xdr:rowOff>
                  </from>
                  <to>
                    <xdr:col>1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68580</xdr:rowOff>
                  </from>
                  <to>
                    <xdr:col>2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68580</xdr:rowOff>
                  </from>
                  <to>
                    <xdr:col>2</xdr:col>
                    <xdr:colOff>327660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68580</xdr:rowOff>
                  </from>
                  <to>
                    <xdr:col>2</xdr:col>
                    <xdr:colOff>327660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68580</xdr:rowOff>
                  </from>
                  <to>
                    <xdr:col>2</xdr:col>
                    <xdr:colOff>327660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68580</xdr:rowOff>
                  </from>
                  <to>
                    <xdr:col>2</xdr:col>
                    <xdr:colOff>327660</xdr:colOff>
                    <xdr:row>23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68580</xdr:rowOff>
                  </from>
                  <to>
                    <xdr:col>2</xdr:col>
                    <xdr:colOff>327660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68580</xdr:rowOff>
                  </from>
                  <to>
                    <xdr:col>2</xdr:col>
                    <xdr:colOff>327660</xdr:colOff>
                    <xdr:row>26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68580</xdr:rowOff>
                  </from>
                  <to>
                    <xdr:col>2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68580</xdr:rowOff>
                  </from>
                  <to>
                    <xdr:col>2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68580</xdr:rowOff>
                  </from>
                  <to>
                    <xdr:col>2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68580</xdr:rowOff>
                  </from>
                  <to>
                    <xdr:col>2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68580</xdr:rowOff>
                  </from>
                  <to>
                    <xdr:col>2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68580</xdr:rowOff>
                  </from>
                  <to>
                    <xdr:col>2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68580</xdr:rowOff>
                  </from>
                  <to>
                    <xdr:col>2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68580</xdr:rowOff>
                  </from>
                  <to>
                    <xdr:col>2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68580</xdr:rowOff>
                  </from>
                  <to>
                    <xdr:col>2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68580</xdr:rowOff>
                  </from>
                  <to>
                    <xdr:col>2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68580</xdr:rowOff>
                  </from>
                  <to>
                    <xdr:col>2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68580</xdr:rowOff>
                  </from>
                  <to>
                    <xdr:col>2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68580</xdr:rowOff>
                  </from>
                  <to>
                    <xdr:col>2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68580</xdr:rowOff>
                  </from>
                  <to>
                    <xdr:col>2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68580</xdr:rowOff>
                  </from>
                  <to>
                    <xdr:col>2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68580</xdr:rowOff>
                  </from>
                  <to>
                    <xdr:col>2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68580</xdr:rowOff>
                  </from>
                  <to>
                    <xdr:col>2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68580</xdr:rowOff>
                  </from>
                  <to>
                    <xdr:col>2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68580</xdr:rowOff>
                  </from>
                  <to>
                    <xdr:col>2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68580</xdr:rowOff>
                  </from>
                  <to>
                    <xdr:col>2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68580</xdr:rowOff>
                  </from>
                  <to>
                    <xdr:col>2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68580</xdr:rowOff>
                  </from>
                  <to>
                    <xdr:col>2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3" r:id="rId70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68580</xdr:rowOff>
                  </from>
                  <to>
                    <xdr:col>2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4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68580</xdr:rowOff>
                  </from>
                  <to>
                    <xdr:col>2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5" r:id="rId72" name="Check Box 69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68580</xdr:rowOff>
                  </from>
                  <to>
                    <xdr:col>2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6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68580</xdr:rowOff>
                  </from>
                  <to>
                    <xdr:col>2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7" r:id="rId74" name="Check Box 71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68580</xdr:rowOff>
                  </from>
                  <to>
                    <xdr:col>2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8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68580</xdr:rowOff>
                  </from>
                  <to>
                    <xdr:col>2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9" r:id="rId76" name="Check Box 73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68580</xdr:rowOff>
                  </from>
                  <to>
                    <xdr:col>2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0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68580</xdr:rowOff>
                  </from>
                  <to>
                    <xdr:col>2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1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68580</xdr:rowOff>
                  </from>
                  <to>
                    <xdr:col>1</xdr:col>
                    <xdr:colOff>304800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68580</xdr:rowOff>
                  </from>
                  <to>
                    <xdr:col>2</xdr:col>
                    <xdr:colOff>327660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3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68580</xdr:rowOff>
                  </from>
                  <to>
                    <xdr:col>1</xdr:col>
                    <xdr:colOff>320040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4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68580</xdr:rowOff>
                  </from>
                  <to>
                    <xdr:col>2</xdr:col>
                    <xdr:colOff>327660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5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68580</xdr:rowOff>
                  </from>
                  <to>
                    <xdr:col>1</xdr:col>
                    <xdr:colOff>327660</xdr:colOff>
                    <xdr:row>25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6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68580</xdr:rowOff>
                  </from>
                  <to>
                    <xdr:col>2</xdr:col>
                    <xdr:colOff>327660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7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68580</xdr:rowOff>
                  </from>
                  <to>
                    <xdr:col>1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8" r:id="rId85" name="Check Box 8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68580</xdr:rowOff>
                  </from>
                  <to>
                    <xdr:col>2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9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68580</xdr:rowOff>
                  </from>
                  <to>
                    <xdr:col>1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0" r:id="rId87" name="Check Box 84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68580</xdr:rowOff>
                  </from>
                  <to>
                    <xdr:col>2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1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68580</xdr:rowOff>
                  </from>
                  <to>
                    <xdr:col>1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2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68580</xdr:rowOff>
                  </from>
                  <to>
                    <xdr:col>2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3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68580</xdr:rowOff>
                  </from>
                  <to>
                    <xdr:col>1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4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68580</xdr:rowOff>
                  </from>
                  <to>
                    <xdr:col>2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5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68580</xdr:rowOff>
                  </from>
                  <to>
                    <xdr:col>1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6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68580</xdr:rowOff>
                  </from>
                  <to>
                    <xdr:col>2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B27F-147A-4261-AB6F-40D297B267B9}">
  <dimension ref="A5:AH92"/>
  <sheetViews>
    <sheetView showGridLines="0" workbookViewId="0">
      <selection activeCell="B12" sqref="B12:D12"/>
    </sheetView>
  </sheetViews>
  <sheetFormatPr defaultColWidth="9.33203125" defaultRowHeight="13.2" x14ac:dyDescent="0.25"/>
  <cols>
    <col min="1" max="1" width="54.6640625" customWidth="1"/>
    <col min="2" max="3" width="6.77734375" customWidth="1"/>
    <col min="4" max="4" width="44.77734375" style="4" customWidth="1"/>
    <col min="6" max="25" width="9.33203125" customWidth="1"/>
    <col min="27" max="28" width="9.33203125" style="34"/>
    <col min="29" max="30" width="4.21875" style="35" customWidth="1"/>
    <col min="31" max="31" width="3.33203125" style="35" customWidth="1"/>
    <col min="32" max="33" width="9.33203125" style="35"/>
    <col min="34" max="34" width="9.33203125" style="36"/>
  </cols>
  <sheetData>
    <row r="5" spans="1:34" ht="13.05" customHeight="1" x14ac:dyDescent="0.25">
      <c r="A5" s="79" t="s">
        <v>59</v>
      </c>
      <c r="B5" s="79"/>
      <c r="C5" s="79"/>
      <c r="D5" s="79"/>
    </row>
    <row r="6" spans="1:34" ht="13.05" customHeight="1" x14ac:dyDescent="0.25">
      <c r="A6" s="80" t="s">
        <v>60</v>
      </c>
      <c r="B6" s="80"/>
      <c r="C6" s="80"/>
      <c r="D6" s="80"/>
    </row>
    <row r="7" spans="1:34" x14ac:dyDescent="0.25">
      <c r="A7" s="78"/>
      <c r="B7" s="78"/>
      <c r="C7" s="78"/>
      <c r="D7" s="78"/>
    </row>
    <row r="8" spans="1:34" ht="13.05" customHeight="1" thickBot="1" x14ac:dyDescent="0.3">
      <c r="A8" s="83" t="s">
        <v>61</v>
      </c>
      <c r="B8" s="83"/>
      <c r="C8" s="83"/>
      <c r="D8" s="83"/>
    </row>
    <row r="9" spans="1:34" ht="7.05" customHeight="1" thickTop="1" x14ac:dyDescent="0.25">
      <c r="A9" s="18"/>
      <c r="B9" s="18"/>
      <c r="C9" s="18"/>
      <c r="D9" s="18"/>
    </row>
    <row r="10" spans="1:34" ht="13.8" x14ac:dyDescent="0.25">
      <c r="A10" s="82" t="s">
        <v>45</v>
      </c>
      <c r="B10" s="82"/>
      <c r="C10" s="82"/>
      <c r="D10" s="82"/>
    </row>
    <row r="11" spans="1:34" x14ac:dyDescent="0.25">
      <c r="A11" s="3" t="s">
        <v>46</v>
      </c>
      <c r="B11" s="88" t="s">
        <v>85</v>
      </c>
      <c r="C11" s="88"/>
      <c r="D11" s="88"/>
    </row>
    <row r="12" spans="1:34" x14ac:dyDescent="0.25">
      <c r="A12" s="16" t="s">
        <v>55</v>
      </c>
      <c r="B12" s="88"/>
      <c r="C12" s="88"/>
      <c r="D12" s="88"/>
    </row>
    <row r="13" spans="1:34" x14ac:dyDescent="0.25">
      <c r="A13" s="16" t="s">
        <v>56</v>
      </c>
      <c r="B13" s="88"/>
      <c r="C13" s="88"/>
      <c r="D13" s="88"/>
    </row>
    <row r="14" spans="1:34" ht="22.5" customHeight="1" thickBot="1" x14ac:dyDescent="0.3">
      <c r="A14" s="15" t="s">
        <v>54</v>
      </c>
    </row>
    <row r="15" spans="1:34" ht="13.8" thickBot="1" x14ac:dyDescent="0.3">
      <c r="A15" s="10" t="s">
        <v>0</v>
      </c>
      <c r="B15" s="11" t="s">
        <v>1</v>
      </c>
      <c r="C15" s="11" t="s">
        <v>2</v>
      </c>
      <c r="D15" s="12" t="s">
        <v>3</v>
      </c>
    </row>
    <row r="16" spans="1:34" ht="25.05" customHeight="1" x14ac:dyDescent="0.25">
      <c r="A16" s="8" t="s">
        <v>4</v>
      </c>
      <c r="B16" s="9"/>
      <c r="C16" s="9"/>
      <c r="D16" s="23"/>
      <c r="AA16" s="34" t="b">
        <v>0</v>
      </c>
      <c r="AB16" s="34" t="b">
        <v>0</v>
      </c>
      <c r="AC16" s="35">
        <f>IF(AA16="","",IF(AA16=TRUE,1,0))</f>
        <v>0</v>
      </c>
      <c r="AD16" s="35">
        <f>IF(AB16="","",IF(AB16=TRUE,0.5,0))</f>
        <v>0</v>
      </c>
      <c r="AE16" s="40">
        <f>SUM(AC16:AD16)</f>
        <v>0</v>
      </c>
      <c r="AF16" s="37">
        <f>IF(AE16=1,AC16,0)</f>
        <v>0</v>
      </c>
      <c r="AG16" s="37">
        <f>IF(AE16=1,AD16,0)</f>
        <v>0</v>
      </c>
      <c r="AH16" s="36" t="str">
        <f>IF(AD16=0,"",IF(AD16=1,2,0))</f>
        <v/>
      </c>
    </row>
    <row r="17" spans="1:34" ht="25.05" customHeight="1" x14ac:dyDescent="0.25">
      <c r="A17" s="5" t="s">
        <v>5</v>
      </c>
      <c r="B17" s="2"/>
      <c r="C17" s="2"/>
      <c r="D17" s="24"/>
      <c r="AA17" s="34" t="b">
        <v>0</v>
      </c>
      <c r="AB17" s="34" t="b">
        <v>0</v>
      </c>
      <c r="AC17" s="35">
        <f t="shared" ref="AC17:AD76" si="0">IF(AA17="","",IF(AA17=TRUE,1,0))</f>
        <v>0</v>
      </c>
      <c r="AD17" s="35">
        <f t="shared" ref="AD17:AD20" si="1">IF(AB17="","",IF(AB17=TRUE,0.5,0))</f>
        <v>0</v>
      </c>
      <c r="AE17" s="35">
        <f t="shared" ref="AE17:AE76" si="2">SUM(AC17:AD17)</f>
        <v>0</v>
      </c>
      <c r="AF17" s="37">
        <f t="shared" ref="AF17:AF76" si="3">IF(AE17=1,AC17,0)</f>
        <v>0</v>
      </c>
      <c r="AG17" s="37">
        <f t="shared" ref="AG17:AG76" si="4">IF(AE17=1,AD17,0)</f>
        <v>0</v>
      </c>
      <c r="AH17" s="36" t="str">
        <f t="shared" ref="AH17:AH20" si="5">IF(AD17=0,"",IF(AD17=1,2,0))</f>
        <v/>
      </c>
    </row>
    <row r="18" spans="1:34" ht="25.05" customHeight="1" x14ac:dyDescent="0.25">
      <c r="A18" s="5" t="s">
        <v>6</v>
      </c>
      <c r="B18" s="2"/>
      <c r="C18" s="2"/>
      <c r="D18" s="24"/>
      <c r="AA18" s="34" t="b">
        <v>0</v>
      </c>
      <c r="AB18" s="34" t="b">
        <v>0</v>
      </c>
      <c r="AC18" s="35">
        <f t="shared" si="0"/>
        <v>0</v>
      </c>
      <c r="AD18" s="35">
        <f t="shared" si="1"/>
        <v>0</v>
      </c>
      <c r="AE18" s="35">
        <f t="shared" si="2"/>
        <v>0</v>
      </c>
      <c r="AF18" s="37">
        <f t="shared" si="3"/>
        <v>0</v>
      </c>
      <c r="AG18" s="37">
        <f t="shared" si="4"/>
        <v>0</v>
      </c>
      <c r="AH18" s="36" t="str">
        <f t="shared" si="5"/>
        <v/>
      </c>
    </row>
    <row r="19" spans="1:34" ht="25.05" customHeight="1" x14ac:dyDescent="0.25">
      <c r="A19" s="32" t="s">
        <v>7</v>
      </c>
      <c r="B19" s="2"/>
      <c r="C19" s="2"/>
      <c r="D19" s="29"/>
      <c r="AA19" s="34" t="b">
        <v>0</v>
      </c>
      <c r="AB19" s="34" t="b">
        <v>0</v>
      </c>
      <c r="AC19" s="35">
        <f t="shared" si="0"/>
        <v>0</v>
      </c>
      <c r="AD19" s="35">
        <f t="shared" si="1"/>
        <v>0</v>
      </c>
      <c r="AE19" s="35">
        <f t="shared" si="2"/>
        <v>0</v>
      </c>
      <c r="AF19" s="37">
        <f t="shared" si="3"/>
        <v>0</v>
      </c>
      <c r="AG19" s="37">
        <f t="shared" si="4"/>
        <v>0</v>
      </c>
      <c r="AH19" s="36" t="str">
        <f t="shared" si="5"/>
        <v/>
      </c>
    </row>
    <row r="20" spans="1:34" ht="25.05" customHeight="1" thickBot="1" x14ac:dyDescent="0.3">
      <c r="A20" s="31"/>
      <c r="B20" s="7"/>
      <c r="C20" s="7"/>
      <c r="D20" s="25"/>
      <c r="AA20" s="34" t="b">
        <v>0</v>
      </c>
      <c r="AB20" s="34" t="b">
        <v>0</v>
      </c>
      <c r="AC20" s="35">
        <f t="shared" si="0"/>
        <v>0</v>
      </c>
      <c r="AD20" s="35">
        <f t="shared" si="1"/>
        <v>0</v>
      </c>
      <c r="AE20" s="35">
        <f t="shared" si="2"/>
        <v>0</v>
      </c>
      <c r="AF20" s="37">
        <f t="shared" si="3"/>
        <v>0</v>
      </c>
      <c r="AG20" s="37">
        <f t="shared" si="4"/>
        <v>0</v>
      </c>
      <c r="AH20" s="36" t="str">
        <f t="shared" si="5"/>
        <v/>
      </c>
    </row>
    <row r="21" spans="1:34" ht="21.6" customHeight="1" thickBot="1" x14ac:dyDescent="0.3">
      <c r="A21" s="15" t="s">
        <v>53</v>
      </c>
      <c r="B21" s="18">
        <f>AF21</f>
        <v>0</v>
      </c>
      <c r="C21" s="18">
        <f>AG21</f>
        <v>0</v>
      </c>
      <c r="AC21" s="35" t="str">
        <f t="shared" si="0"/>
        <v/>
      </c>
      <c r="AD21" s="35" t="str">
        <f t="shared" si="0"/>
        <v/>
      </c>
      <c r="AF21" s="38">
        <f>SUM(AF16:AF20)</f>
        <v>0</v>
      </c>
      <c r="AG21" s="38">
        <f>SUM(AG16:AG20)</f>
        <v>0</v>
      </c>
    </row>
    <row r="22" spans="1:34" ht="21.6" customHeight="1" thickBot="1" x14ac:dyDescent="0.3">
      <c r="A22" s="10" t="s">
        <v>0</v>
      </c>
      <c r="B22" s="11" t="s">
        <v>1</v>
      </c>
      <c r="C22" s="14" t="s">
        <v>2</v>
      </c>
      <c r="D22" s="12" t="s">
        <v>3</v>
      </c>
      <c r="AC22" s="35" t="str">
        <f t="shared" si="0"/>
        <v/>
      </c>
      <c r="AD22" s="35" t="str">
        <f t="shared" si="0"/>
        <v/>
      </c>
      <c r="AF22" s="37"/>
      <c r="AG22" s="37"/>
    </row>
    <row r="23" spans="1:34" ht="21.6" customHeight="1" x14ac:dyDescent="0.25">
      <c r="A23" s="13" t="s">
        <v>8</v>
      </c>
      <c r="B23" s="2"/>
      <c r="C23" s="2"/>
      <c r="D23" s="26"/>
      <c r="AA23" s="34" t="b">
        <v>0</v>
      </c>
      <c r="AB23" s="34" t="b">
        <v>0</v>
      </c>
      <c r="AC23" s="35">
        <f t="shared" si="0"/>
        <v>0</v>
      </c>
      <c r="AD23" s="35">
        <f>IF(AB23="","",IF(AB23=TRUE,0.5,0))</f>
        <v>0</v>
      </c>
      <c r="AE23" s="35">
        <f t="shared" si="2"/>
        <v>0</v>
      </c>
      <c r="AF23" s="37">
        <f t="shared" si="3"/>
        <v>0</v>
      </c>
      <c r="AG23" s="37">
        <f t="shared" si="4"/>
        <v>0</v>
      </c>
      <c r="AH23" s="36" t="str">
        <f>IF(AD23=0,"",IF(AD23=1,2,0))</f>
        <v/>
      </c>
    </row>
    <row r="24" spans="1:34" ht="21.6" customHeight="1" x14ac:dyDescent="0.25">
      <c r="A24" s="5" t="s">
        <v>9</v>
      </c>
      <c r="B24" s="2"/>
      <c r="C24" s="2"/>
      <c r="D24" s="27"/>
      <c r="AA24" s="34" t="b">
        <v>0</v>
      </c>
      <c r="AB24" s="34" t="b">
        <v>0</v>
      </c>
      <c r="AC24" s="35">
        <f t="shared" si="0"/>
        <v>0</v>
      </c>
      <c r="AD24" s="35">
        <f t="shared" ref="AD24:AD27" si="6">IF(AB24="","",IF(AB24=TRUE,0.5,0))</f>
        <v>0</v>
      </c>
      <c r="AE24" s="35">
        <f t="shared" si="2"/>
        <v>0</v>
      </c>
      <c r="AF24" s="37">
        <f t="shared" si="3"/>
        <v>0</v>
      </c>
      <c r="AG24" s="37">
        <f t="shared" si="4"/>
        <v>0</v>
      </c>
      <c r="AH24" s="36" t="str">
        <f t="shared" ref="AH24:AH27" si="7">IF(AD24=0,"",IF(AD24=1,2,0))</f>
        <v/>
      </c>
    </row>
    <row r="25" spans="1:34" ht="21.6" customHeight="1" x14ac:dyDescent="0.25">
      <c r="A25" s="5" t="s">
        <v>10</v>
      </c>
      <c r="B25" s="2"/>
      <c r="C25" s="2"/>
      <c r="D25" s="27"/>
      <c r="AA25" s="34" t="b">
        <v>0</v>
      </c>
      <c r="AB25" s="34" t="b">
        <v>0</v>
      </c>
      <c r="AC25" s="35">
        <f t="shared" si="0"/>
        <v>0</v>
      </c>
      <c r="AD25" s="35">
        <f t="shared" si="6"/>
        <v>0</v>
      </c>
      <c r="AE25" s="35">
        <f t="shared" si="2"/>
        <v>0</v>
      </c>
      <c r="AF25" s="37">
        <f t="shared" si="3"/>
        <v>0</v>
      </c>
      <c r="AG25" s="37">
        <f t="shared" si="4"/>
        <v>0</v>
      </c>
      <c r="AH25" s="36" t="str">
        <f t="shared" si="7"/>
        <v/>
      </c>
    </row>
    <row r="26" spans="1:34" ht="21.6" customHeight="1" x14ac:dyDescent="0.25">
      <c r="A26" s="32" t="s">
        <v>11</v>
      </c>
      <c r="B26" s="2"/>
      <c r="C26" s="2"/>
      <c r="D26" s="30"/>
      <c r="AA26" s="34" t="b">
        <v>0</v>
      </c>
      <c r="AB26" s="34" t="b">
        <v>0</v>
      </c>
      <c r="AC26" s="35">
        <f t="shared" si="0"/>
        <v>0</v>
      </c>
      <c r="AD26" s="35">
        <f t="shared" si="6"/>
        <v>0</v>
      </c>
      <c r="AE26" s="35">
        <f t="shared" si="2"/>
        <v>0</v>
      </c>
      <c r="AF26" s="37">
        <f t="shared" si="3"/>
        <v>0</v>
      </c>
      <c r="AG26" s="37">
        <f t="shared" si="4"/>
        <v>0</v>
      </c>
      <c r="AH26" s="36" t="str">
        <f t="shared" si="7"/>
        <v/>
      </c>
    </row>
    <row r="27" spans="1:34" ht="21.6" customHeight="1" thickBot="1" x14ac:dyDescent="0.3">
      <c r="A27" s="31"/>
      <c r="B27" s="7"/>
      <c r="C27" s="7"/>
      <c r="D27" s="28"/>
      <c r="AA27" s="34" t="b">
        <v>0</v>
      </c>
      <c r="AB27" s="34" t="b">
        <v>0</v>
      </c>
      <c r="AC27" s="35">
        <f t="shared" si="0"/>
        <v>0</v>
      </c>
      <c r="AD27" s="35">
        <f t="shared" si="6"/>
        <v>0</v>
      </c>
      <c r="AE27" s="35">
        <f t="shared" si="2"/>
        <v>0</v>
      </c>
      <c r="AF27" s="37">
        <f t="shared" si="3"/>
        <v>0</v>
      </c>
      <c r="AG27" s="37">
        <f t="shared" si="4"/>
        <v>0</v>
      </c>
      <c r="AH27" s="36" t="str">
        <f t="shared" si="7"/>
        <v/>
      </c>
    </row>
    <row r="28" spans="1:34" ht="21.6" customHeight="1" thickBot="1" x14ac:dyDescent="0.3">
      <c r="A28" s="15" t="s">
        <v>52</v>
      </c>
      <c r="B28" s="18">
        <f>AF28</f>
        <v>0</v>
      </c>
      <c r="C28" s="18">
        <f>AG28</f>
        <v>0</v>
      </c>
      <c r="AC28" s="35" t="str">
        <f t="shared" si="0"/>
        <v/>
      </c>
      <c r="AD28" s="35" t="str">
        <f t="shared" si="0"/>
        <v/>
      </c>
      <c r="AF28" s="38">
        <f>SUM(AF23:AF27)</f>
        <v>0</v>
      </c>
      <c r="AG28" s="38">
        <f>SUM(AG23:AG27)</f>
        <v>0</v>
      </c>
    </row>
    <row r="29" spans="1:34" ht="21.6" customHeight="1" thickBot="1" x14ac:dyDescent="0.3">
      <c r="A29" s="10" t="s">
        <v>0</v>
      </c>
      <c r="B29" s="11" t="s">
        <v>1</v>
      </c>
      <c r="C29" s="14" t="s">
        <v>2</v>
      </c>
      <c r="D29" s="12" t="s">
        <v>3</v>
      </c>
      <c r="AC29" s="35" t="str">
        <f t="shared" si="0"/>
        <v/>
      </c>
      <c r="AD29" s="35" t="str">
        <f t="shared" si="0"/>
        <v/>
      </c>
      <c r="AF29" s="37"/>
      <c r="AG29" s="37"/>
    </row>
    <row r="30" spans="1:34" ht="21.6" customHeight="1" x14ac:dyDescent="0.25">
      <c r="A30" s="13" t="s">
        <v>12</v>
      </c>
      <c r="B30" s="2"/>
      <c r="C30" s="2"/>
      <c r="D30" s="26"/>
      <c r="AA30" s="34" t="b">
        <v>0</v>
      </c>
      <c r="AB30" s="34" t="b">
        <v>0</v>
      </c>
      <c r="AC30" s="35">
        <f t="shared" si="0"/>
        <v>0</v>
      </c>
      <c r="AD30" s="35">
        <f>IF(AB30="","",IF(AB30=TRUE,0.5,0))</f>
        <v>0</v>
      </c>
      <c r="AE30" s="35">
        <f t="shared" si="2"/>
        <v>0</v>
      </c>
      <c r="AF30" s="37">
        <f t="shared" si="3"/>
        <v>0</v>
      </c>
      <c r="AG30" s="37">
        <f t="shared" si="4"/>
        <v>0</v>
      </c>
      <c r="AH30" s="36" t="str">
        <f>IF(AD30=0,"",IF(AD30=1,2,0))</f>
        <v/>
      </c>
    </row>
    <row r="31" spans="1:34" ht="21.6" customHeight="1" x14ac:dyDescent="0.25">
      <c r="A31" s="5" t="s">
        <v>13</v>
      </c>
      <c r="B31" s="2"/>
      <c r="C31" s="2"/>
      <c r="D31" s="27"/>
      <c r="AA31" s="34" t="b">
        <v>0</v>
      </c>
      <c r="AB31" s="34" t="b">
        <v>0</v>
      </c>
      <c r="AC31" s="35">
        <f t="shared" si="0"/>
        <v>0</v>
      </c>
      <c r="AD31" s="35">
        <f t="shared" ref="AD31:AD34" si="8">IF(AB31="","",IF(AB31=TRUE,0.5,0))</f>
        <v>0</v>
      </c>
      <c r="AE31" s="35">
        <f t="shared" si="2"/>
        <v>0</v>
      </c>
      <c r="AF31" s="37">
        <f t="shared" si="3"/>
        <v>0</v>
      </c>
      <c r="AG31" s="37">
        <f t="shared" si="4"/>
        <v>0</v>
      </c>
      <c r="AH31" s="36" t="str">
        <f t="shared" ref="AH31:AH34" si="9">IF(AD31=0,"",IF(AD31=1,2,0))</f>
        <v/>
      </c>
    </row>
    <row r="32" spans="1:34" ht="21.6" customHeight="1" x14ac:dyDescent="0.25">
      <c r="A32" s="5" t="s">
        <v>14</v>
      </c>
      <c r="B32" s="2"/>
      <c r="C32" s="2"/>
      <c r="D32" s="27"/>
      <c r="AA32" s="34" t="b">
        <v>0</v>
      </c>
      <c r="AB32" s="34" t="b">
        <v>0</v>
      </c>
      <c r="AC32" s="35">
        <f t="shared" si="0"/>
        <v>0</v>
      </c>
      <c r="AD32" s="35">
        <f t="shared" si="8"/>
        <v>0</v>
      </c>
      <c r="AE32" s="35">
        <f t="shared" si="2"/>
        <v>0</v>
      </c>
      <c r="AF32" s="37">
        <f t="shared" si="3"/>
        <v>0</v>
      </c>
      <c r="AG32" s="37">
        <f t="shared" si="4"/>
        <v>0</v>
      </c>
      <c r="AH32" s="36" t="str">
        <f t="shared" si="9"/>
        <v/>
      </c>
    </row>
    <row r="33" spans="1:34" ht="21.6" customHeight="1" x14ac:dyDescent="0.25">
      <c r="A33" s="32" t="s">
        <v>15</v>
      </c>
      <c r="B33" s="2"/>
      <c r="C33" s="2"/>
      <c r="D33" s="30"/>
      <c r="AA33" s="34" t="b">
        <v>0</v>
      </c>
      <c r="AB33" s="34" t="b">
        <v>0</v>
      </c>
      <c r="AC33" s="35">
        <f t="shared" si="0"/>
        <v>0</v>
      </c>
      <c r="AD33" s="35">
        <f t="shared" si="8"/>
        <v>0</v>
      </c>
      <c r="AE33" s="35">
        <f t="shared" si="2"/>
        <v>0</v>
      </c>
      <c r="AF33" s="37">
        <f t="shared" si="3"/>
        <v>0</v>
      </c>
      <c r="AG33" s="37">
        <f t="shared" si="4"/>
        <v>0</v>
      </c>
      <c r="AH33" s="36" t="str">
        <f t="shared" si="9"/>
        <v/>
      </c>
    </row>
    <row r="34" spans="1:34" ht="21.6" customHeight="1" thickBot="1" x14ac:dyDescent="0.3">
      <c r="A34" s="31"/>
      <c r="B34" s="7"/>
      <c r="C34" s="7"/>
      <c r="D34" s="28"/>
      <c r="AA34" s="34" t="b">
        <v>0</v>
      </c>
      <c r="AB34" s="34" t="b">
        <v>0</v>
      </c>
      <c r="AC34" s="35">
        <f t="shared" si="0"/>
        <v>0</v>
      </c>
      <c r="AD34" s="35">
        <f t="shared" si="8"/>
        <v>0</v>
      </c>
      <c r="AE34" s="35">
        <f t="shared" si="2"/>
        <v>0</v>
      </c>
      <c r="AF34" s="37">
        <f t="shared" si="3"/>
        <v>0</v>
      </c>
      <c r="AG34" s="37">
        <f t="shared" si="4"/>
        <v>0</v>
      </c>
      <c r="AH34" s="36" t="str">
        <f t="shared" si="9"/>
        <v/>
      </c>
    </row>
    <row r="35" spans="1:34" ht="21.6" customHeight="1" thickBot="1" x14ac:dyDescent="0.3">
      <c r="A35" s="15" t="s">
        <v>51</v>
      </c>
      <c r="B35" s="18">
        <f>AF35</f>
        <v>0</v>
      </c>
      <c r="C35" s="18">
        <f>AG35</f>
        <v>0</v>
      </c>
      <c r="AC35" s="35" t="str">
        <f t="shared" si="0"/>
        <v/>
      </c>
      <c r="AD35" s="35" t="str">
        <f t="shared" si="0"/>
        <v/>
      </c>
      <c r="AF35" s="38">
        <f>SUM(AF30:AF34)</f>
        <v>0</v>
      </c>
      <c r="AG35" s="38">
        <f>SUM(AG30:AG34)</f>
        <v>0</v>
      </c>
    </row>
    <row r="36" spans="1:34" ht="21.6" customHeight="1" thickBot="1" x14ac:dyDescent="0.3">
      <c r="A36" s="10" t="s">
        <v>0</v>
      </c>
      <c r="B36" s="11" t="s">
        <v>1</v>
      </c>
      <c r="C36" s="14" t="s">
        <v>2</v>
      </c>
      <c r="D36" s="12" t="s">
        <v>3</v>
      </c>
      <c r="AC36" s="35" t="str">
        <f t="shared" si="0"/>
        <v/>
      </c>
      <c r="AD36" s="35" t="str">
        <f t="shared" si="0"/>
        <v/>
      </c>
      <c r="AF36" s="37"/>
      <c r="AG36" s="37"/>
    </row>
    <row r="37" spans="1:34" ht="21.6" customHeight="1" x14ac:dyDescent="0.25">
      <c r="A37" s="13" t="s">
        <v>16</v>
      </c>
      <c r="B37" s="2"/>
      <c r="C37" s="2"/>
      <c r="D37" s="26"/>
      <c r="AA37" s="34" t="b">
        <v>0</v>
      </c>
      <c r="AB37" s="34" t="b">
        <v>0</v>
      </c>
      <c r="AC37" s="35">
        <f t="shared" si="0"/>
        <v>0</v>
      </c>
      <c r="AD37" s="35">
        <f>IF(AB37="","",IF(AB37=TRUE,0.5,0))</f>
        <v>0</v>
      </c>
      <c r="AE37" s="35">
        <f t="shared" si="2"/>
        <v>0</v>
      </c>
      <c r="AF37" s="37">
        <f t="shared" si="3"/>
        <v>0</v>
      </c>
      <c r="AG37" s="37">
        <f t="shared" si="4"/>
        <v>0</v>
      </c>
      <c r="AH37" s="36" t="str">
        <f>IF(AD37=0,"",IF(AD37=1,2,0))</f>
        <v/>
      </c>
    </row>
    <row r="38" spans="1:34" ht="21.6" customHeight="1" x14ac:dyDescent="0.25">
      <c r="A38" s="5" t="s">
        <v>17</v>
      </c>
      <c r="B38" s="2"/>
      <c r="C38" s="2"/>
      <c r="D38" s="27"/>
      <c r="AA38" s="34" t="b">
        <v>0</v>
      </c>
      <c r="AB38" s="34" t="b">
        <v>0</v>
      </c>
      <c r="AC38" s="35">
        <f t="shared" si="0"/>
        <v>0</v>
      </c>
      <c r="AD38" s="35">
        <f t="shared" ref="AD38:AD41" si="10">IF(AB38="","",IF(AB38=TRUE,0.5,0))</f>
        <v>0</v>
      </c>
      <c r="AE38" s="35">
        <f t="shared" si="2"/>
        <v>0</v>
      </c>
      <c r="AF38" s="37">
        <f t="shared" si="3"/>
        <v>0</v>
      </c>
      <c r="AG38" s="37">
        <f t="shared" si="4"/>
        <v>0</v>
      </c>
      <c r="AH38" s="36" t="str">
        <f t="shared" ref="AH38:AH41" si="11">IF(AD38=0,"",IF(AD38=1,2,0))</f>
        <v/>
      </c>
    </row>
    <row r="39" spans="1:34" ht="21.6" customHeight="1" x14ac:dyDescent="0.25">
      <c r="A39" s="5" t="s">
        <v>18</v>
      </c>
      <c r="B39" s="2"/>
      <c r="C39" s="2"/>
      <c r="D39" s="27"/>
      <c r="AA39" s="34" t="b">
        <v>0</v>
      </c>
      <c r="AB39" s="34" t="b">
        <v>0</v>
      </c>
      <c r="AC39" s="35">
        <f t="shared" si="0"/>
        <v>0</v>
      </c>
      <c r="AD39" s="35">
        <f t="shared" si="10"/>
        <v>0</v>
      </c>
      <c r="AE39" s="35">
        <f t="shared" si="2"/>
        <v>0</v>
      </c>
      <c r="AF39" s="37">
        <f t="shared" si="3"/>
        <v>0</v>
      </c>
      <c r="AG39" s="37">
        <f t="shared" si="4"/>
        <v>0</v>
      </c>
      <c r="AH39" s="36" t="str">
        <f t="shared" si="11"/>
        <v/>
      </c>
    </row>
    <row r="40" spans="1:34" ht="21.6" customHeight="1" x14ac:dyDescent="0.25">
      <c r="A40" s="32" t="s">
        <v>19</v>
      </c>
      <c r="B40" s="2"/>
      <c r="C40" s="2"/>
      <c r="D40" s="30"/>
      <c r="AA40" s="34" t="b">
        <v>0</v>
      </c>
      <c r="AB40" s="34" t="b">
        <v>0</v>
      </c>
      <c r="AC40" s="35">
        <f t="shared" si="0"/>
        <v>0</v>
      </c>
      <c r="AD40" s="35">
        <f t="shared" si="10"/>
        <v>0</v>
      </c>
      <c r="AE40" s="35">
        <f t="shared" si="2"/>
        <v>0</v>
      </c>
      <c r="AF40" s="37">
        <f t="shared" si="3"/>
        <v>0</v>
      </c>
      <c r="AG40" s="37">
        <f t="shared" si="4"/>
        <v>0</v>
      </c>
      <c r="AH40" s="36" t="str">
        <f t="shared" si="11"/>
        <v/>
      </c>
    </row>
    <row r="41" spans="1:34" ht="21.6" customHeight="1" thickBot="1" x14ac:dyDescent="0.3">
      <c r="A41" s="31"/>
      <c r="B41" s="7"/>
      <c r="C41" s="7"/>
      <c r="D41" s="28"/>
      <c r="AA41" s="34" t="b">
        <v>0</v>
      </c>
      <c r="AB41" s="34" t="b">
        <v>0</v>
      </c>
      <c r="AC41" s="35">
        <f t="shared" si="0"/>
        <v>0</v>
      </c>
      <c r="AD41" s="35">
        <f t="shared" si="10"/>
        <v>0</v>
      </c>
      <c r="AE41" s="35">
        <f t="shared" si="2"/>
        <v>0</v>
      </c>
      <c r="AF41" s="37">
        <f t="shared" si="3"/>
        <v>0</v>
      </c>
      <c r="AG41" s="37">
        <f t="shared" si="4"/>
        <v>0</v>
      </c>
      <c r="AH41" s="36" t="str">
        <f t="shared" si="11"/>
        <v/>
      </c>
    </row>
    <row r="42" spans="1:34" ht="21.6" customHeight="1" thickBot="1" x14ac:dyDescent="0.3">
      <c r="A42" s="17" t="s">
        <v>58</v>
      </c>
      <c r="B42" s="18">
        <f>AF42</f>
        <v>0</v>
      </c>
      <c r="C42" s="18">
        <f>AG42</f>
        <v>0</v>
      </c>
      <c r="AC42" s="35" t="str">
        <f t="shared" si="0"/>
        <v/>
      </c>
      <c r="AD42" s="35" t="str">
        <f t="shared" si="0"/>
        <v/>
      </c>
      <c r="AF42" s="38">
        <f>SUM(AF37:AF41)</f>
        <v>0</v>
      </c>
      <c r="AG42" s="38">
        <f>SUM(AG37:AG41)</f>
        <v>0</v>
      </c>
    </row>
    <row r="43" spans="1:34" ht="21.6" customHeight="1" thickBot="1" x14ac:dyDescent="0.3">
      <c r="A43" s="10" t="s">
        <v>0</v>
      </c>
      <c r="B43" s="11" t="s">
        <v>1</v>
      </c>
      <c r="C43" s="14" t="s">
        <v>2</v>
      </c>
      <c r="D43" s="12" t="s">
        <v>3</v>
      </c>
      <c r="AC43" s="35" t="str">
        <f t="shared" si="0"/>
        <v/>
      </c>
      <c r="AD43" s="35" t="str">
        <f t="shared" si="0"/>
        <v/>
      </c>
      <c r="AF43" s="37"/>
      <c r="AG43" s="37"/>
    </row>
    <row r="44" spans="1:34" ht="21.6" customHeight="1" x14ac:dyDescent="0.25">
      <c r="A44" s="13" t="s">
        <v>20</v>
      </c>
      <c r="B44" s="2"/>
      <c r="C44" s="2"/>
      <c r="D44" s="26"/>
      <c r="AA44" s="34" t="b">
        <v>0</v>
      </c>
      <c r="AB44" s="34" t="b">
        <v>0</v>
      </c>
      <c r="AC44" s="35">
        <f t="shared" si="0"/>
        <v>0</v>
      </c>
      <c r="AD44" s="35">
        <f>IF(AB44="","",IF(AB44=TRUE,0.5,0))</f>
        <v>0</v>
      </c>
      <c r="AE44" s="35">
        <f t="shared" si="2"/>
        <v>0</v>
      </c>
      <c r="AF44" s="37">
        <f t="shared" si="3"/>
        <v>0</v>
      </c>
      <c r="AG44" s="37">
        <f t="shared" si="4"/>
        <v>0</v>
      </c>
      <c r="AH44" s="36" t="str">
        <f>IF(AD44=0,"",IF(AD44=1,2,0))</f>
        <v/>
      </c>
    </row>
    <row r="45" spans="1:34" ht="21.6" customHeight="1" x14ac:dyDescent="0.25">
      <c r="A45" s="5" t="s">
        <v>21</v>
      </c>
      <c r="B45" s="2"/>
      <c r="C45" s="2"/>
      <c r="D45" s="27"/>
      <c r="AA45" s="34" t="b">
        <v>0</v>
      </c>
      <c r="AB45" s="34" t="b">
        <v>0</v>
      </c>
      <c r="AC45" s="35">
        <f t="shared" si="0"/>
        <v>0</v>
      </c>
      <c r="AD45" s="35">
        <f t="shared" ref="AD45:AD48" si="12">IF(AB45="","",IF(AB45=TRUE,0.5,0))</f>
        <v>0</v>
      </c>
      <c r="AE45" s="35">
        <f t="shared" si="2"/>
        <v>0</v>
      </c>
      <c r="AF45" s="37">
        <f t="shared" si="3"/>
        <v>0</v>
      </c>
      <c r="AG45" s="37">
        <f t="shared" si="4"/>
        <v>0</v>
      </c>
      <c r="AH45" s="36" t="str">
        <f t="shared" ref="AH45:AH48" si="13">IF(AD45=0,"",IF(AD45=1,2,0))</f>
        <v/>
      </c>
    </row>
    <row r="46" spans="1:34" ht="21.6" customHeight="1" x14ac:dyDescent="0.25">
      <c r="A46" s="5" t="s">
        <v>22</v>
      </c>
      <c r="B46" s="2"/>
      <c r="C46" s="2"/>
      <c r="D46" s="27"/>
      <c r="AA46" s="34" t="b">
        <v>0</v>
      </c>
      <c r="AB46" s="34" t="b">
        <v>0</v>
      </c>
      <c r="AC46" s="35">
        <f t="shared" si="0"/>
        <v>0</v>
      </c>
      <c r="AD46" s="35">
        <f t="shared" si="12"/>
        <v>0</v>
      </c>
      <c r="AE46" s="35">
        <f t="shared" si="2"/>
        <v>0</v>
      </c>
      <c r="AF46" s="37">
        <f t="shared" si="3"/>
        <v>0</v>
      </c>
      <c r="AG46" s="37">
        <f t="shared" si="4"/>
        <v>0</v>
      </c>
      <c r="AH46" s="36" t="str">
        <f t="shared" si="13"/>
        <v/>
      </c>
    </row>
    <row r="47" spans="1:34" ht="21.6" customHeight="1" x14ac:dyDescent="0.25">
      <c r="A47" s="32" t="s">
        <v>23</v>
      </c>
      <c r="B47" s="2"/>
      <c r="C47" s="2"/>
      <c r="D47" s="30"/>
      <c r="AA47" s="34" t="b">
        <v>0</v>
      </c>
      <c r="AB47" s="34" t="b">
        <v>0</v>
      </c>
      <c r="AC47" s="35">
        <f t="shared" si="0"/>
        <v>0</v>
      </c>
      <c r="AD47" s="35">
        <f t="shared" si="12"/>
        <v>0</v>
      </c>
      <c r="AE47" s="35">
        <f t="shared" si="2"/>
        <v>0</v>
      </c>
      <c r="AF47" s="37">
        <f t="shared" si="3"/>
        <v>0</v>
      </c>
      <c r="AG47" s="37">
        <f t="shared" si="4"/>
        <v>0</v>
      </c>
      <c r="AH47" s="36" t="str">
        <f t="shared" si="13"/>
        <v/>
      </c>
    </row>
    <row r="48" spans="1:34" ht="21.6" customHeight="1" thickBot="1" x14ac:dyDescent="0.3">
      <c r="A48" s="31"/>
      <c r="B48" s="7"/>
      <c r="C48" s="7"/>
      <c r="D48" s="28"/>
      <c r="AA48" s="34" t="b">
        <v>0</v>
      </c>
      <c r="AB48" s="34" t="b">
        <v>0</v>
      </c>
      <c r="AC48" s="35">
        <f t="shared" si="0"/>
        <v>0</v>
      </c>
      <c r="AD48" s="35">
        <f t="shared" si="12"/>
        <v>0</v>
      </c>
      <c r="AE48" s="35">
        <f t="shared" si="2"/>
        <v>0</v>
      </c>
      <c r="AF48" s="37">
        <f t="shared" si="3"/>
        <v>0</v>
      </c>
      <c r="AG48" s="37">
        <f t="shared" si="4"/>
        <v>0</v>
      </c>
      <c r="AH48" s="36" t="str">
        <f t="shared" si="13"/>
        <v/>
      </c>
    </row>
    <row r="49" spans="1:34" ht="21.6" customHeight="1" thickBot="1" x14ac:dyDescent="0.3">
      <c r="A49" s="17" t="s">
        <v>57</v>
      </c>
      <c r="B49" s="18">
        <f>AF49</f>
        <v>0</v>
      </c>
      <c r="C49" s="18">
        <f>AG49</f>
        <v>0</v>
      </c>
      <c r="AC49" s="35" t="str">
        <f t="shared" si="0"/>
        <v/>
      </c>
      <c r="AD49" s="35" t="str">
        <f t="shared" si="0"/>
        <v/>
      </c>
      <c r="AF49" s="38">
        <f>SUM(AF44:AF48)</f>
        <v>0</v>
      </c>
      <c r="AG49" s="38">
        <f>SUM(AG44:AG48)</f>
        <v>0</v>
      </c>
    </row>
    <row r="50" spans="1:34" ht="21.6" customHeight="1" thickBot="1" x14ac:dyDescent="0.3">
      <c r="A50" s="10" t="s">
        <v>0</v>
      </c>
      <c r="B50" s="11" t="s">
        <v>1</v>
      </c>
      <c r="C50" s="14" t="s">
        <v>2</v>
      </c>
      <c r="D50" s="12" t="s">
        <v>3</v>
      </c>
      <c r="AC50" s="35" t="str">
        <f t="shared" si="0"/>
        <v/>
      </c>
      <c r="AD50" s="35" t="str">
        <f t="shared" si="0"/>
        <v/>
      </c>
      <c r="AF50" s="37"/>
      <c r="AG50" s="37"/>
    </row>
    <row r="51" spans="1:34" ht="21.6" customHeight="1" x14ac:dyDescent="0.25">
      <c r="A51" s="13" t="s">
        <v>24</v>
      </c>
      <c r="B51" s="2"/>
      <c r="C51" s="2"/>
      <c r="D51" s="26"/>
      <c r="AA51" s="34" t="b">
        <v>0</v>
      </c>
      <c r="AB51" s="34" t="b">
        <v>0</v>
      </c>
      <c r="AC51" s="35">
        <f t="shared" si="0"/>
        <v>0</v>
      </c>
      <c r="AD51" s="35">
        <f>IF(AB51="","",IF(AB51=TRUE,0.5,0))</f>
        <v>0</v>
      </c>
      <c r="AE51" s="35">
        <f t="shared" si="2"/>
        <v>0</v>
      </c>
      <c r="AF51" s="37">
        <f t="shared" si="3"/>
        <v>0</v>
      </c>
      <c r="AG51" s="37">
        <f t="shared" si="4"/>
        <v>0</v>
      </c>
      <c r="AH51" s="36" t="str">
        <f>IF(AD51=0,"",IF(AD51=1,2,0))</f>
        <v/>
      </c>
    </row>
    <row r="52" spans="1:34" ht="21.6" customHeight="1" x14ac:dyDescent="0.25">
      <c r="A52" s="5" t="s">
        <v>25</v>
      </c>
      <c r="B52" s="2"/>
      <c r="C52" s="2"/>
      <c r="D52" s="27"/>
      <c r="AA52" s="34" t="b">
        <v>0</v>
      </c>
      <c r="AB52" s="34" t="b">
        <v>0</v>
      </c>
      <c r="AC52" s="35">
        <f t="shared" si="0"/>
        <v>0</v>
      </c>
      <c r="AD52" s="35">
        <f t="shared" ref="AD52:AD55" si="14">IF(AB52="","",IF(AB52=TRUE,0.5,0))</f>
        <v>0</v>
      </c>
      <c r="AE52" s="35">
        <f t="shared" si="2"/>
        <v>0</v>
      </c>
      <c r="AF52" s="37">
        <f t="shared" si="3"/>
        <v>0</v>
      </c>
      <c r="AG52" s="37">
        <f t="shared" si="4"/>
        <v>0</v>
      </c>
      <c r="AH52" s="36" t="str">
        <f t="shared" ref="AH52:AH55" si="15">IF(AD52=0,"",IF(AD52=1,2,0))</f>
        <v/>
      </c>
    </row>
    <row r="53" spans="1:34" ht="21.6" customHeight="1" x14ac:dyDescent="0.25">
      <c r="A53" s="5" t="s">
        <v>26</v>
      </c>
      <c r="B53" s="2"/>
      <c r="C53" s="2"/>
      <c r="D53" s="27"/>
      <c r="AA53" s="34" t="b">
        <v>0</v>
      </c>
      <c r="AB53" s="34" t="b">
        <v>0</v>
      </c>
      <c r="AC53" s="35">
        <f t="shared" si="0"/>
        <v>0</v>
      </c>
      <c r="AD53" s="35">
        <f t="shared" si="14"/>
        <v>0</v>
      </c>
      <c r="AE53" s="35">
        <f t="shared" si="2"/>
        <v>0</v>
      </c>
      <c r="AF53" s="37">
        <f t="shared" si="3"/>
        <v>0</v>
      </c>
      <c r="AG53" s="37">
        <f t="shared" si="4"/>
        <v>0</v>
      </c>
      <c r="AH53" s="36" t="str">
        <f t="shared" si="15"/>
        <v/>
      </c>
    </row>
    <row r="54" spans="1:34" ht="21.6" customHeight="1" x14ac:dyDescent="0.25">
      <c r="A54" s="5" t="s">
        <v>27</v>
      </c>
      <c r="B54" s="2"/>
      <c r="C54" s="2"/>
      <c r="D54" s="27"/>
      <c r="AA54" s="34" t="b">
        <v>0</v>
      </c>
      <c r="AB54" s="34" t="b">
        <v>0</v>
      </c>
      <c r="AC54" s="35">
        <f t="shared" si="0"/>
        <v>0</v>
      </c>
      <c r="AD54" s="35">
        <f t="shared" si="14"/>
        <v>0</v>
      </c>
      <c r="AE54" s="35">
        <f t="shared" si="2"/>
        <v>0</v>
      </c>
      <c r="AF54" s="37">
        <f t="shared" si="3"/>
        <v>0</v>
      </c>
      <c r="AG54" s="37">
        <f t="shared" si="4"/>
        <v>0</v>
      </c>
      <c r="AH54" s="36" t="str">
        <f t="shared" si="15"/>
        <v/>
      </c>
    </row>
    <row r="55" spans="1:34" ht="21.6" customHeight="1" thickBot="1" x14ac:dyDescent="0.3">
      <c r="A55" s="6" t="s">
        <v>28</v>
      </c>
      <c r="B55" s="7"/>
      <c r="C55" s="7"/>
      <c r="D55" s="28"/>
      <c r="AA55" s="34" t="b">
        <v>0</v>
      </c>
      <c r="AB55" s="34" t="b">
        <v>0</v>
      </c>
      <c r="AC55" s="35">
        <f t="shared" si="0"/>
        <v>0</v>
      </c>
      <c r="AD55" s="35">
        <f t="shared" si="14"/>
        <v>0</v>
      </c>
      <c r="AE55" s="35">
        <f t="shared" si="2"/>
        <v>0</v>
      </c>
      <c r="AF55" s="37">
        <f t="shared" si="3"/>
        <v>0</v>
      </c>
      <c r="AG55" s="37">
        <f t="shared" si="4"/>
        <v>0</v>
      </c>
      <c r="AH55" s="36" t="str">
        <f t="shared" si="15"/>
        <v/>
      </c>
    </row>
    <row r="56" spans="1:34" ht="21.6" customHeight="1" thickBot="1" x14ac:dyDescent="0.3">
      <c r="A56" s="15" t="s">
        <v>47</v>
      </c>
      <c r="B56" s="18">
        <f>AF56</f>
        <v>0</v>
      </c>
      <c r="C56" s="18">
        <f>AG56</f>
        <v>0</v>
      </c>
      <c r="AC56" s="35" t="str">
        <f t="shared" si="0"/>
        <v/>
      </c>
      <c r="AD56" s="35" t="str">
        <f t="shared" si="0"/>
        <v/>
      </c>
      <c r="AF56" s="38">
        <f>SUM(AF51:AF55)</f>
        <v>0</v>
      </c>
      <c r="AG56" s="38">
        <f>SUM(AG51:AG55)</f>
        <v>0</v>
      </c>
    </row>
    <row r="57" spans="1:34" ht="21.6" customHeight="1" thickBot="1" x14ac:dyDescent="0.3">
      <c r="A57" s="10" t="s">
        <v>0</v>
      </c>
      <c r="B57" s="11" t="s">
        <v>1</v>
      </c>
      <c r="C57" s="14" t="s">
        <v>2</v>
      </c>
      <c r="D57" s="12" t="s">
        <v>3</v>
      </c>
      <c r="AC57" s="35" t="str">
        <f t="shared" si="0"/>
        <v/>
      </c>
      <c r="AD57" s="35" t="str">
        <f t="shared" si="0"/>
        <v/>
      </c>
      <c r="AF57" s="37"/>
      <c r="AG57" s="37"/>
    </row>
    <row r="58" spans="1:34" ht="21.6" customHeight="1" x14ac:dyDescent="0.25">
      <c r="A58" s="13" t="s">
        <v>29</v>
      </c>
      <c r="B58" s="2"/>
      <c r="C58" s="2"/>
      <c r="D58" s="26"/>
      <c r="AA58" s="34" t="b">
        <v>0</v>
      </c>
      <c r="AB58" s="34" t="b">
        <v>0</v>
      </c>
      <c r="AC58" s="35">
        <f t="shared" si="0"/>
        <v>0</v>
      </c>
      <c r="AD58" s="35">
        <f>IF(AB58="","",IF(AB58=TRUE,0.5,0))</f>
        <v>0</v>
      </c>
      <c r="AE58" s="35">
        <f t="shared" si="2"/>
        <v>0</v>
      </c>
      <c r="AF58" s="37">
        <f t="shared" si="3"/>
        <v>0</v>
      </c>
      <c r="AG58" s="37">
        <f t="shared" si="4"/>
        <v>0</v>
      </c>
      <c r="AH58" s="36" t="str">
        <f>IF(AD58=0,"",IF(AD58=1,2,0))</f>
        <v/>
      </c>
    </row>
    <row r="59" spans="1:34" ht="21.6" customHeight="1" x14ac:dyDescent="0.25">
      <c r="A59" s="5" t="s">
        <v>30</v>
      </c>
      <c r="B59" s="2"/>
      <c r="C59" s="2"/>
      <c r="D59" s="27"/>
      <c r="AA59" s="34" t="b">
        <v>0</v>
      </c>
      <c r="AB59" s="34" t="b">
        <v>0</v>
      </c>
      <c r="AC59" s="35">
        <f t="shared" si="0"/>
        <v>0</v>
      </c>
      <c r="AD59" s="35">
        <f t="shared" ref="AD59:AD62" si="16">IF(AB59="","",IF(AB59=TRUE,0.5,0))</f>
        <v>0</v>
      </c>
      <c r="AE59" s="35">
        <f t="shared" si="2"/>
        <v>0</v>
      </c>
      <c r="AF59" s="37">
        <f t="shared" si="3"/>
        <v>0</v>
      </c>
      <c r="AG59" s="37">
        <f t="shared" si="4"/>
        <v>0</v>
      </c>
      <c r="AH59" s="36" t="str">
        <f t="shared" ref="AH59:AH62" si="17">IF(AD59=0,"",IF(AD59=1,2,0))</f>
        <v/>
      </c>
    </row>
    <row r="60" spans="1:34" ht="21.6" customHeight="1" x14ac:dyDescent="0.25">
      <c r="A60" s="5" t="s">
        <v>31</v>
      </c>
      <c r="B60" s="2"/>
      <c r="C60" s="2"/>
      <c r="D60" s="27"/>
      <c r="AA60" s="34" t="b">
        <v>0</v>
      </c>
      <c r="AB60" s="34" t="b">
        <v>0</v>
      </c>
      <c r="AC60" s="35">
        <f t="shared" si="0"/>
        <v>0</v>
      </c>
      <c r="AD60" s="35">
        <f t="shared" si="16"/>
        <v>0</v>
      </c>
      <c r="AE60" s="35">
        <f t="shared" si="2"/>
        <v>0</v>
      </c>
      <c r="AF60" s="37">
        <f t="shared" si="3"/>
        <v>0</v>
      </c>
      <c r="AG60" s="37">
        <f t="shared" si="4"/>
        <v>0</v>
      </c>
      <c r="AH60" s="36" t="str">
        <f t="shared" si="17"/>
        <v/>
      </c>
    </row>
    <row r="61" spans="1:34" ht="21.6" customHeight="1" x14ac:dyDescent="0.25">
      <c r="A61" s="32" t="s">
        <v>32</v>
      </c>
      <c r="B61" s="2"/>
      <c r="C61" s="2"/>
      <c r="D61" s="30"/>
      <c r="AA61" s="34" t="b">
        <v>0</v>
      </c>
      <c r="AB61" s="34" t="b">
        <v>0</v>
      </c>
      <c r="AC61" s="35">
        <f t="shared" si="0"/>
        <v>0</v>
      </c>
      <c r="AD61" s="35">
        <f t="shared" si="16"/>
        <v>0</v>
      </c>
      <c r="AE61" s="35">
        <f t="shared" si="2"/>
        <v>0</v>
      </c>
      <c r="AF61" s="37">
        <f t="shared" si="3"/>
        <v>0</v>
      </c>
      <c r="AG61" s="37">
        <f t="shared" si="4"/>
        <v>0</v>
      </c>
      <c r="AH61" s="36" t="str">
        <f t="shared" si="17"/>
        <v/>
      </c>
    </row>
    <row r="62" spans="1:34" ht="21.6" customHeight="1" thickBot="1" x14ac:dyDescent="0.3">
      <c r="A62" s="31"/>
      <c r="B62" s="7"/>
      <c r="C62" s="7"/>
      <c r="D62" s="28"/>
      <c r="AA62" s="34" t="b">
        <v>0</v>
      </c>
      <c r="AB62" s="34" t="b">
        <v>0</v>
      </c>
      <c r="AC62" s="35">
        <f t="shared" si="0"/>
        <v>0</v>
      </c>
      <c r="AD62" s="35">
        <f t="shared" si="16"/>
        <v>0</v>
      </c>
      <c r="AE62" s="35">
        <f t="shared" si="2"/>
        <v>0</v>
      </c>
      <c r="AF62" s="37">
        <f t="shared" si="3"/>
        <v>0</v>
      </c>
      <c r="AG62" s="37">
        <f t="shared" si="4"/>
        <v>0</v>
      </c>
      <c r="AH62" s="36" t="str">
        <f t="shared" si="17"/>
        <v/>
      </c>
    </row>
    <row r="63" spans="1:34" ht="21.6" customHeight="1" thickBot="1" x14ac:dyDescent="0.3">
      <c r="A63" s="15" t="s">
        <v>48</v>
      </c>
      <c r="B63" s="18">
        <f>AF63</f>
        <v>0</v>
      </c>
      <c r="C63" s="18">
        <f>AG63</f>
        <v>0</v>
      </c>
      <c r="AC63" s="35" t="str">
        <f t="shared" si="0"/>
        <v/>
      </c>
      <c r="AD63" s="35" t="str">
        <f t="shared" si="0"/>
        <v/>
      </c>
      <c r="AF63" s="38">
        <f>SUM(AF58:AF62)</f>
        <v>0</v>
      </c>
      <c r="AG63" s="38">
        <f>SUM(AG58:AG62)</f>
        <v>0</v>
      </c>
    </row>
    <row r="64" spans="1:34" ht="21.6" customHeight="1" thickBot="1" x14ac:dyDescent="0.3">
      <c r="A64" s="10" t="s">
        <v>0</v>
      </c>
      <c r="B64" s="11" t="s">
        <v>1</v>
      </c>
      <c r="C64" s="14" t="s">
        <v>2</v>
      </c>
      <c r="D64" s="12" t="s">
        <v>3</v>
      </c>
      <c r="AC64" s="35" t="str">
        <f t="shared" si="0"/>
        <v/>
      </c>
      <c r="AD64" s="35" t="str">
        <f t="shared" si="0"/>
        <v/>
      </c>
      <c r="AF64" s="37"/>
      <c r="AG64" s="37"/>
    </row>
    <row r="65" spans="1:34" ht="21.6" customHeight="1" x14ac:dyDescent="0.25">
      <c r="A65" s="13" t="s">
        <v>33</v>
      </c>
      <c r="B65" s="2"/>
      <c r="C65" s="2"/>
      <c r="D65" s="26"/>
      <c r="AA65" s="34" t="b">
        <v>0</v>
      </c>
      <c r="AB65" s="34" t="b">
        <v>0</v>
      </c>
      <c r="AC65" s="35">
        <f t="shared" si="0"/>
        <v>0</v>
      </c>
      <c r="AD65" s="35">
        <f>IF(AB65="","",IF(AB65=TRUE,0.5,0))</f>
        <v>0</v>
      </c>
      <c r="AE65" s="35">
        <f t="shared" si="2"/>
        <v>0</v>
      </c>
      <c r="AF65" s="37">
        <f t="shared" si="3"/>
        <v>0</v>
      </c>
      <c r="AG65" s="37">
        <f t="shared" si="4"/>
        <v>0</v>
      </c>
      <c r="AH65" s="36" t="str">
        <f>IF(AD65=0,"",IF(AD65=1,2,0))</f>
        <v/>
      </c>
    </row>
    <row r="66" spans="1:34" ht="21.6" customHeight="1" x14ac:dyDescent="0.25">
      <c r="A66" s="5" t="s">
        <v>34</v>
      </c>
      <c r="B66" s="2"/>
      <c r="C66" s="2"/>
      <c r="D66" s="27"/>
      <c r="AA66" s="34" t="b">
        <v>0</v>
      </c>
      <c r="AB66" s="34" t="b">
        <v>0</v>
      </c>
      <c r="AC66" s="35">
        <f t="shared" si="0"/>
        <v>0</v>
      </c>
      <c r="AD66" s="35">
        <f t="shared" ref="AD66:AD69" si="18">IF(AB66="","",IF(AB66=TRUE,0.5,0))</f>
        <v>0</v>
      </c>
      <c r="AE66" s="35">
        <f t="shared" si="2"/>
        <v>0</v>
      </c>
      <c r="AF66" s="37">
        <f t="shared" si="3"/>
        <v>0</v>
      </c>
      <c r="AG66" s="37">
        <f t="shared" si="4"/>
        <v>0</v>
      </c>
      <c r="AH66" s="36" t="str">
        <f t="shared" ref="AH66:AH69" si="19">IF(AD66=0,"",IF(AD66=1,2,0))</f>
        <v/>
      </c>
    </row>
    <row r="67" spans="1:34" ht="21.6" customHeight="1" x14ac:dyDescent="0.25">
      <c r="A67" s="5" t="s">
        <v>35</v>
      </c>
      <c r="B67" s="2"/>
      <c r="C67" s="2"/>
      <c r="D67" s="27"/>
      <c r="AA67" s="34" t="b">
        <v>0</v>
      </c>
      <c r="AB67" s="34" t="b">
        <v>0</v>
      </c>
      <c r="AC67" s="35">
        <f t="shared" si="0"/>
        <v>0</v>
      </c>
      <c r="AD67" s="35">
        <f t="shared" si="18"/>
        <v>0</v>
      </c>
      <c r="AE67" s="35">
        <f t="shared" si="2"/>
        <v>0</v>
      </c>
      <c r="AF67" s="37">
        <f t="shared" si="3"/>
        <v>0</v>
      </c>
      <c r="AG67" s="37">
        <f t="shared" si="4"/>
        <v>0</v>
      </c>
      <c r="AH67" s="36" t="str">
        <f t="shared" si="19"/>
        <v/>
      </c>
    </row>
    <row r="68" spans="1:34" ht="21.6" customHeight="1" x14ac:dyDescent="0.25">
      <c r="A68" s="5" t="s">
        <v>36</v>
      </c>
      <c r="B68" s="2"/>
      <c r="C68" s="2"/>
      <c r="D68" s="27"/>
      <c r="AA68" s="34" t="b">
        <v>0</v>
      </c>
      <c r="AB68" s="34" t="b">
        <v>0</v>
      </c>
      <c r="AC68" s="35">
        <f t="shared" si="0"/>
        <v>0</v>
      </c>
      <c r="AD68" s="35">
        <f t="shared" si="18"/>
        <v>0</v>
      </c>
      <c r="AE68" s="35">
        <f t="shared" si="2"/>
        <v>0</v>
      </c>
      <c r="AF68" s="37">
        <f t="shared" si="3"/>
        <v>0</v>
      </c>
      <c r="AG68" s="37">
        <f t="shared" si="4"/>
        <v>0</v>
      </c>
      <c r="AH68" s="36" t="str">
        <f t="shared" si="19"/>
        <v/>
      </c>
    </row>
    <row r="69" spans="1:34" ht="21.6" customHeight="1" thickBot="1" x14ac:dyDescent="0.3">
      <c r="A69" s="6" t="s">
        <v>37</v>
      </c>
      <c r="B69" s="7"/>
      <c r="C69" s="7"/>
      <c r="D69" s="28"/>
      <c r="AA69" s="34" t="b">
        <v>0</v>
      </c>
      <c r="AB69" s="34" t="b">
        <v>0</v>
      </c>
      <c r="AC69" s="35">
        <f t="shared" si="0"/>
        <v>0</v>
      </c>
      <c r="AD69" s="35">
        <f t="shared" si="18"/>
        <v>0</v>
      </c>
      <c r="AE69" s="35">
        <f t="shared" si="2"/>
        <v>0</v>
      </c>
      <c r="AF69" s="37">
        <f t="shared" si="3"/>
        <v>0</v>
      </c>
      <c r="AG69" s="37">
        <f t="shared" si="4"/>
        <v>0</v>
      </c>
      <c r="AH69" s="36" t="str">
        <f t="shared" si="19"/>
        <v/>
      </c>
    </row>
    <row r="70" spans="1:34" ht="21.6" customHeight="1" thickBot="1" x14ac:dyDescent="0.3">
      <c r="A70" s="15" t="s">
        <v>49</v>
      </c>
      <c r="B70" s="18">
        <f>AF70</f>
        <v>0</v>
      </c>
      <c r="C70" s="18">
        <f>AG70</f>
        <v>0</v>
      </c>
      <c r="AC70" s="35" t="str">
        <f t="shared" si="0"/>
        <v/>
      </c>
      <c r="AD70" s="35" t="str">
        <f t="shared" si="0"/>
        <v/>
      </c>
      <c r="AF70" s="38">
        <f>SUM(AF65:AF69)</f>
        <v>0</v>
      </c>
      <c r="AG70" s="38">
        <f>SUM(AG65:AG69)</f>
        <v>0</v>
      </c>
    </row>
    <row r="71" spans="1:34" ht="21.6" customHeight="1" thickBot="1" x14ac:dyDescent="0.3">
      <c r="A71" s="10" t="s">
        <v>0</v>
      </c>
      <c r="B71" s="11" t="s">
        <v>1</v>
      </c>
      <c r="C71" s="14" t="s">
        <v>2</v>
      </c>
      <c r="D71" s="12" t="s">
        <v>3</v>
      </c>
      <c r="AC71" s="35" t="str">
        <f t="shared" si="0"/>
        <v/>
      </c>
      <c r="AD71" s="35" t="str">
        <f t="shared" si="0"/>
        <v/>
      </c>
      <c r="AF71" s="37"/>
      <c r="AG71" s="37"/>
    </row>
    <row r="72" spans="1:34" ht="21.6" customHeight="1" x14ac:dyDescent="0.25">
      <c r="A72" s="13" t="s">
        <v>38</v>
      </c>
      <c r="B72" s="2"/>
      <c r="C72" s="2"/>
      <c r="D72" s="26"/>
      <c r="AA72" s="34" t="b">
        <v>0</v>
      </c>
      <c r="AB72" s="34" t="b">
        <v>0</v>
      </c>
      <c r="AC72" s="35">
        <f t="shared" si="0"/>
        <v>0</v>
      </c>
      <c r="AD72" s="35">
        <f>IF(AB72="","",IF(AB72=TRUE,0.5,0))</f>
        <v>0</v>
      </c>
      <c r="AE72" s="35">
        <f t="shared" si="2"/>
        <v>0</v>
      </c>
      <c r="AF72" s="37">
        <f t="shared" si="3"/>
        <v>0</v>
      </c>
      <c r="AG72" s="37">
        <f t="shared" si="4"/>
        <v>0</v>
      </c>
      <c r="AH72" s="36" t="str">
        <f>IF(AD72=0,"",IF(AD72=1,2,0))</f>
        <v/>
      </c>
    </row>
    <row r="73" spans="1:34" ht="21.6" customHeight="1" x14ac:dyDescent="0.25">
      <c r="A73" s="5" t="s">
        <v>39</v>
      </c>
      <c r="B73" s="2"/>
      <c r="C73" s="2"/>
      <c r="D73" s="27"/>
      <c r="AA73" s="34" t="b">
        <v>0</v>
      </c>
      <c r="AB73" s="34" t="b">
        <v>0</v>
      </c>
      <c r="AC73" s="35">
        <f t="shared" si="0"/>
        <v>0</v>
      </c>
      <c r="AD73" s="35">
        <f t="shared" ref="AD73:AD76" si="20">IF(AB73="","",IF(AB73=TRUE,0.5,0))</f>
        <v>0</v>
      </c>
      <c r="AE73" s="35">
        <f t="shared" si="2"/>
        <v>0</v>
      </c>
      <c r="AF73" s="37">
        <f t="shared" si="3"/>
        <v>0</v>
      </c>
      <c r="AG73" s="37">
        <f t="shared" si="4"/>
        <v>0</v>
      </c>
      <c r="AH73" s="36" t="str">
        <f t="shared" ref="AH73:AH76" si="21">IF(AD73=0,"",IF(AD73=1,2,0))</f>
        <v/>
      </c>
    </row>
    <row r="74" spans="1:34" ht="21.6" customHeight="1" x14ac:dyDescent="0.25">
      <c r="A74" s="5" t="s">
        <v>40</v>
      </c>
      <c r="B74" s="2"/>
      <c r="C74" s="2"/>
      <c r="D74" s="27"/>
      <c r="AA74" s="34" t="b">
        <v>0</v>
      </c>
      <c r="AB74" s="34" t="b">
        <v>0</v>
      </c>
      <c r="AC74" s="35">
        <f t="shared" si="0"/>
        <v>0</v>
      </c>
      <c r="AD74" s="35">
        <f t="shared" si="20"/>
        <v>0</v>
      </c>
      <c r="AE74" s="35">
        <f t="shared" si="2"/>
        <v>0</v>
      </c>
      <c r="AF74" s="37">
        <f t="shared" si="3"/>
        <v>0</v>
      </c>
      <c r="AG74" s="37">
        <f t="shared" si="4"/>
        <v>0</v>
      </c>
      <c r="AH74" s="36" t="str">
        <f t="shared" si="21"/>
        <v/>
      </c>
    </row>
    <row r="75" spans="1:34" ht="21.6" customHeight="1" x14ac:dyDescent="0.25">
      <c r="A75" s="32" t="s">
        <v>41</v>
      </c>
      <c r="B75" s="2"/>
      <c r="C75" s="2"/>
      <c r="D75" s="30"/>
      <c r="AA75" s="34" t="b">
        <v>0</v>
      </c>
      <c r="AB75" s="34" t="b">
        <v>0</v>
      </c>
      <c r="AC75" s="35">
        <f t="shared" si="0"/>
        <v>0</v>
      </c>
      <c r="AD75" s="35">
        <f t="shared" si="20"/>
        <v>0</v>
      </c>
      <c r="AE75" s="35">
        <f t="shared" si="2"/>
        <v>0</v>
      </c>
      <c r="AF75" s="37">
        <f t="shared" si="3"/>
        <v>0</v>
      </c>
      <c r="AG75" s="37">
        <f t="shared" si="4"/>
        <v>0</v>
      </c>
      <c r="AH75" s="36" t="str">
        <f t="shared" si="21"/>
        <v/>
      </c>
    </row>
    <row r="76" spans="1:34" ht="21.6" customHeight="1" thickBot="1" x14ac:dyDescent="0.3">
      <c r="A76" s="31"/>
      <c r="B76" s="7"/>
      <c r="C76" s="7"/>
      <c r="D76" s="28"/>
      <c r="AA76" s="34" t="b">
        <v>0</v>
      </c>
      <c r="AB76" s="34" t="b">
        <v>0</v>
      </c>
      <c r="AC76" s="35">
        <f t="shared" si="0"/>
        <v>0</v>
      </c>
      <c r="AD76" s="35">
        <f t="shared" si="20"/>
        <v>0</v>
      </c>
      <c r="AE76" s="35">
        <f t="shared" si="2"/>
        <v>0</v>
      </c>
      <c r="AF76" s="37">
        <f t="shared" si="3"/>
        <v>0</v>
      </c>
      <c r="AG76" s="37">
        <f t="shared" si="4"/>
        <v>0</v>
      </c>
      <c r="AH76" s="36" t="str">
        <f t="shared" si="21"/>
        <v/>
      </c>
    </row>
    <row r="77" spans="1:34" ht="21.6" customHeight="1" x14ac:dyDescent="0.25">
      <c r="A77" s="15" t="s">
        <v>50</v>
      </c>
      <c r="B77" s="18">
        <f>AF77</f>
        <v>0</v>
      </c>
      <c r="C77" s="18">
        <f>AG77</f>
        <v>0</v>
      </c>
      <c r="AF77" s="38">
        <f>SUM(AF71:AF76)</f>
        <v>0</v>
      </c>
      <c r="AG77" s="38">
        <f>SUM(AG71:AG76)</f>
        <v>0</v>
      </c>
    </row>
    <row r="78" spans="1:34" ht="16.05" customHeight="1" x14ac:dyDescent="0.25">
      <c r="A78" s="1" t="s">
        <v>42</v>
      </c>
    </row>
    <row r="79" spans="1:34" ht="41.55" customHeight="1" x14ac:dyDescent="0.25">
      <c r="A79" s="84"/>
      <c r="B79" s="85"/>
      <c r="C79" s="85"/>
      <c r="D79" s="86"/>
      <c r="AF79" s="38">
        <f>SUM(AF21,AF28,AF35,AF42,AF49,AF56,AF63,AF70,AF77)</f>
        <v>0</v>
      </c>
      <c r="AG79" s="38">
        <f>SUM(AG21,AG28,AG35,AG42,AG49,AG56,AG63,AG70,AG77)</f>
        <v>0</v>
      </c>
    </row>
    <row r="80" spans="1:34" ht="21.6" customHeight="1" x14ac:dyDescent="0.25">
      <c r="A80" t="s">
        <v>43</v>
      </c>
    </row>
    <row r="81" spans="1:4" ht="41.55" customHeight="1" x14ac:dyDescent="0.25">
      <c r="A81" s="84"/>
      <c r="B81" s="85"/>
      <c r="C81" s="85"/>
      <c r="D81" s="86"/>
    </row>
    <row r="82" spans="1:4" ht="21.6" customHeight="1" x14ac:dyDescent="0.25">
      <c r="A82" t="s">
        <v>44</v>
      </c>
    </row>
    <row r="83" spans="1:4" ht="41.55" customHeight="1" x14ac:dyDescent="0.25">
      <c r="A83" s="84"/>
      <c r="B83" s="85"/>
      <c r="C83" s="85"/>
      <c r="D83" s="86"/>
    </row>
    <row r="85" spans="1:4" x14ac:dyDescent="0.25">
      <c r="A85" s="19" t="s">
        <v>62</v>
      </c>
      <c r="B85" s="19" t="s">
        <v>64</v>
      </c>
    </row>
    <row r="87" spans="1:4" ht="13.8" x14ac:dyDescent="0.25">
      <c r="A87" s="20" t="s">
        <v>66</v>
      </c>
      <c r="B87" s="21"/>
      <c r="C87" s="74" t="s">
        <v>68</v>
      </c>
      <c r="D87" s="74"/>
    </row>
    <row r="88" spans="1:4" x14ac:dyDescent="0.25">
      <c r="A88" s="22" t="s">
        <v>65</v>
      </c>
      <c r="C88" s="75" t="s">
        <v>69</v>
      </c>
      <c r="D88" s="75"/>
    </row>
    <row r="91" spans="1:4" ht="13.8" x14ac:dyDescent="0.25">
      <c r="C91" s="74" t="s">
        <v>63</v>
      </c>
      <c r="D91" s="74"/>
    </row>
    <row r="92" spans="1:4" x14ac:dyDescent="0.25">
      <c r="C92" s="75" t="s">
        <v>67</v>
      </c>
      <c r="D92" s="75"/>
    </row>
  </sheetData>
  <sheetProtection algorithmName="SHA-512" hashValue="nSC/umda8Wc5fdJJLigGdLSxj5etJwXnALUtx9cU9ESywYXo0pgh0hcqJjyo+M7nfnoyuyntJK7nMz8f0djiWQ==" saltValue="NIfzga8MvqDZeHwiFKzWZQ==" spinCount="100000" sheet="1" formatCells="0" formatColumns="0" formatRows="0"/>
  <mergeCells count="15">
    <mergeCell ref="B11:D11"/>
    <mergeCell ref="A5:D5"/>
    <mergeCell ref="A6:D6"/>
    <mergeCell ref="A7:D7"/>
    <mergeCell ref="A8:D8"/>
    <mergeCell ref="A10:D10"/>
    <mergeCell ref="C88:D88"/>
    <mergeCell ref="C91:D91"/>
    <mergeCell ref="C92:D92"/>
    <mergeCell ref="B12:D12"/>
    <mergeCell ref="B13:D13"/>
    <mergeCell ref="A79:D79"/>
    <mergeCell ref="A81:D81"/>
    <mergeCell ref="A83:D83"/>
    <mergeCell ref="C87:D87"/>
  </mergeCells>
  <conditionalFormatting sqref="B16:C16">
    <cfRule type="expression" dxfId="89" priority="45">
      <formula>$AE$16&gt;1</formula>
    </cfRule>
  </conditionalFormatting>
  <conditionalFormatting sqref="B17:C17">
    <cfRule type="expression" dxfId="88" priority="44">
      <formula>$AE$17&gt;1</formula>
    </cfRule>
  </conditionalFormatting>
  <conditionalFormatting sqref="B18:C18">
    <cfRule type="expression" dxfId="87" priority="7">
      <formula>$AE$18&gt;1</formula>
    </cfRule>
  </conditionalFormatting>
  <conditionalFormatting sqref="B19:C19">
    <cfRule type="expression" dxfId="86" priority="42">
      <formula>$AE$19&gt;1</formula>
    </cfRule>
  </conditionalFormatting>
  <conditionalFormatting sqref="B20:C20">
    <cfRule type="expression" dxfId="85" priority="43">
      <formula>$AE$20&gt;1</formula>
    </cfRule>
  </conditionalFormatting>
  <conditionalFormatting sqref="B23:C23">
    <cfRule type="expression" dxfId="84" priority="41">
      <formula>$AE$23&gt;1</formula>
    </cfRule>
  </conditionalFormatting>
  <conditionalFormatting sqref="B24:C24">
    <cfRule type="expression" dxfId="83" priority="40">
      <formula>$AE$24&gt;1</formula>
    </cfRule>
  </conditionalFormatting>
  <conditionalFormatting sqref="B25:C25">
    <cfRule type="expression" dxfId="82" priority="6">
      <formula>$AE$25&gt;1</formula>
    </cfRule>
  </conditionalFormatting>
  <conditionalFormatting sqref="B26:C26">
    <cfRule type="expression" dxfId="81" priority="39">
      <formula>$AE$26&gt;1</formula>
    </cfRule>
  </conditionalFormatting>
  <conditionalFormatting sqref="B27:C27">
    <cfRule type="expression" dxfId="80" priority="38">
      <formula>$AE$27&gt;1</formula>
    </cfRule>
  </conditionalFormatting>
  <conditionalFormatting sqref="B30:C30">
    <cfRule type="expression" dxfId="79" priority="37">
      <formula>$AE$30&gt;1</formula>
    </cfRule>
  </conditionalFormatting>
  <conditionalFormatting sqref="B31:C31">
    <cfRule type="expression" dxfId="78" priority="36">
      <formula>$AE$31&gt;1</formula>
    </cfRule>
  </conditionalFormatting>
  <conditionalFormatting sqref="B32:C32">
    <cfRule type="expression" dxfId="77" priority="35">
      <formula>$AE$32&gt;1</formula>
    </cfRule>
  </conditionalFormatting>
  <conditionalFormatting sqref="B33:C33">
    <cfRule type="expression" dxfId="76" priority="5">
      <formula>$AE$33&gt;1</formula>
    </cfRule>
  </conditionalFormatting>
  <conditionalFormatting sqref="B34:C34">
    <cfRule type="expression" dxfId="75" priority="34">
      <formula>$AE$34&gt;1</formula>
    </cfRule>
  </conditionalFormatting>
  <conditionalFormatting sqref="B37:C37">
    <cfRule type="expression" dxfId="74" priority="33">
      <formula>$AE$37&gt;1</formula>
    </cfRule>
  </conditionalFormatting>
  <conditionalFormatting sqref="B38:C38">
    <cfRule type="expression" dxfId="73" priority="32">
      <formula>$AE$38&gt;1</formula>
    </cfRule>
  </conditionalFormatting>
  <conditionalFormatting sqref="B39:C39">
    <cfRule type="expression" dxfId="72" priority="4">
      <formula>$AE$39&gt;1</formula>
    </cfRule>
  </conditionalFormatting>
  <conditionalFormatting sqref="B40:C40">
    <cfRule type="expression" dxfId="71" priority="31">
      <formula>$AE$40&gt;1</formula>
    </cfRule>
  </conditionalFormatting>
  <conditionalFormatting sqref="B41:C41">
    <cfRule type="expression" dxfId="70" priority="30">
      <formula>$AE$41&gt;1</formula>
    </cfRule>
  </conditionalFormatting>
  <conditionalFormatting sqref="B44:C44">
    <cfRule type="expression" dxfId="69" priority="29">
      <formula>$AE$44&gt;1</formula>
    </cfRule>
  </conditionalFormatting>
  <conditionalFormatting sqref="B45:C45">
    <cfRule type="expression" dxfId="68" priority="28">
      <formula>$AE$45&gt;1</formula>
    </cfRule>
  </conditionalFormatting>
  <conditionalFormatting sqref="B46:C46">
    <cfRule type="expression" dxfId="67" priority="27">
      <formula>$AE$46&gt;1</formula>
    </cfRule>
  </conditionalFormatting>
  <conditionalFormatting sqref="B47:C47">
    <cfRule type="expression" dxfId="66" priority="3">
      <formula>$AE$47&gt;1</formula>
    </cfRule>
  </conditionalFormatting>
  <conditionalFormatting sqref="B48:C48">
    <cfRule type="expression" dxfId="65" priority="26">
      <formula>$AE$48&gt;1</formula>
    </cfRule>
  </conditionalFormatting>
  <conditionalFormatting sqref="B51:C51">
    <cfRule type="expression" dxfId="64" priority="25">
      <formula>$AE$51&gt;1</formula>
    </cfRule>
  </conditionalFormatting>
  <conditionalFormatting sqref="B52:C52">
    <cfRule type="expression" dxfId="63" priority="24">
      <formula>$AE$52&gt;1</formula>
    </cfRule>
  </conditionalFormatting>
  <conditionalFormatting sqref="B53:C53">
    <cfRule type="expression" dxfId="62" priority="23">
      <formula>$AE$53&gt;1</formula>
    </cfRule>
  </conditionalFormatting>
  <conditionalFormatting sqref="B54:C54">
    <cfRule type="expression" dxfId="61" priority="22">
      <formula>$AE$54&gt;1</formula>
    </cfRule>
  </conditionalFormatting>
  <conditionalFormatting sqref="B55:C55">
    <cfRule type="expression" dxfId="60" priority="21">
      <formula>$AE$55&gt;1</formula>
    </cfRule>
  </conditionalFormatting>
  <conditionalFormatting sqref="B58:C58">
    <cfRule type="expression" dxfId="59" priority="11">
      <formula>$AE$58&gt;1</formula>
    </cfRule>
  </conditionalFormatting>
  <conditionalFormatting sqref="B59:C59">
    <cfRule type="expression" dxfId="58" priority="10">
      <formula>$AE$59&gt;1</formula>
    </cfRule>
  </conditionalFormatting>
  <conditionalFormatting sqref="B60:C60">
    <cfRule type="expression" dxfId="57" priority="9">
      <formula>$AE$60&gt;1</formula>
    </cfRule>
  </conditionalFormatting>
  <conditionalFormatting sqref="B61:C61">
    <cfRule type="expression" dxfId="56" priority="2">
      <formula>$AE$61&gt;1</formula>
    </cfRule>
  </conditionalFormatting>
  <conditionalFormatting sqref="B62:C62">
    <cfRule type="expression" dxfId="55" priority="8">
      <formula>$AE$62&gt;1</formula>
    </cfRule>
  </conditionalFormatting>
  <conditionalFormatting sqref="B65:C65">
    <cfRule type="expression" dxfId="54" priority="20">
      <formula>$AE$65&gt;1</formula>
    </cfRule>
  </conditionalFormatting>
  <conditionalFormatting sqref="B66:C66">
    <cfRule type="expression" dxfId="53" priority="19">
      <formula>$AE$66&gt;1</formula>
    </cfRule>
  </conditionalFormatting>
  <conditionalFormatting sqref="B67:C67">
    <cfRule type="expression" dxfId="52" priority="18">
      <formula>$AE$67&gt;1</formula>
    </cfRule>
  </conditionalFormatting>
  <conditionalFormatting sqref="B68:C68">
    <cfRule type="expression" dxfId="51" priority="17">
      <formula>$AE$68&gt;1</formula>
    </cfRule>
  </conditionalFormatting>
  <conditionalFormatting sqref="B69:C69">
    <cfRule type="expression" dxfId="50" priority="16">
      <formula>$AE$69&gt;1</formula>
    </cfRule>
  </conditionalFormatting>
  <conditionalFormatting sqref="B72:C72">
    <cfRule type="expression" dxfId="49" priority="15">
      <formula>$AE$72&gt;1</formula>
    </cfRule>
  </conditionalFormatting>
  <conditionalFormatting sqref="B73:C73">
    <cfRule type="expression" dxfId="48" priority="14">
      <formula>$AE$73&gt;1</formula>
    </cfRule>
  </conditionalFormatting>
  <conditionalFormatting sqref="B74:C74">
    <cfRule type="expression" dxfId="47" priority="13">
      <formula>$AE$74&gt;1</formula>
    </cfRule>
  </conditionalFormatting>
  <conditionalFormatting sqref="B75:C75">
    <cfRule type="expression" dxfId="46" priority="1">
      <formula>$AE$75&gt;1</formula>
    </cfRule>
  </conditionalFormatting>
  <conditionalFormatting sqref="B76:C76">
    <cfRule type="expression" dxfId="45" priority="12">
      <formula>$AE$76&gt;1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68580</xdr:rowOff>
                  </from>
                  <to>
                    <xdr:col>1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68580</xdr:rowOff>
                  </from>
                  <to>
                    <xdr:col>1</xdr:col>
                    <xdr:colOff>320040</xdr:colOff>
                    <xdr:row>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68580</xdr:rowOff>
                  </from>
                  <to>
                    <xdr:col>1</xdr:col>
                    <xdr:colOff>297180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68580</xdr:rowOff>
                  </from>
                  <to>
                    <xdr:col>1</xdr:col>
                    <xdr:colOff>297180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68580</xdr:rowOff>
                  </from>
                  <to>
                    <xdr:col>1</xdr:col>
                    <xdr:colOff>281940</xdr:colOff>
                    <xdr:row>23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68580</xdr:rowOff>
                  </from>
                  <to>
                    <xdr:col>1</xdr:col>
                    <xdr:colOff>327660</xdr:colOff>
                    <xdr:row>24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68580</xdr:rowOff>
                  </from>
                  <to>
                    <xdr:col>1</xdr:col>
                    <xdr:colOff>297180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68580</xdr:rowOff>
                  </from>
                  <to>
                    <xdr:col>1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68580</xdr:rowOff>
                  </from>
                  <to>
                    <xdr:col>1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68580</xdr:rowOff>
                  </from>
                  <to>
                    <xdr:col>1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68580</xdr:rowOff>
                  </from>
                  <to>
                    <xdr:col>1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68580</xdr:rowOff>
                  </from>
                  <to>
                    <xdr:col>1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68580</xdr:rowOff>
                  </from>
                  <to>
                    <xdr:col>1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68580</xdr:rowOff>
                  </from>
                  <to>
                    <xdr:col>1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68580</xdr:rowOff>
                  </from>
                  <to>
                    <xdr:col>1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68580</xdr:rowOff>
                  </from>
                  <to>
                    <xdr:col>1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68580</xdr:rowOff>
                  </from>
                  <to>
                    <xdr:col>1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68580</xdr:rowOff>
                  </from>
                  <to>
                    <xdr:col>1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68580</xdr:rowOff>
                  </from>
                  <to>
                    <xdr:col>1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68580</xdr:rowOff>
                  </from>
                  <to>
                    <xdr:col>1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68580</xdr:rowOff>
                  </from>
                  <to>
                    <xdr:col>1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68580</xdr:rowOff>
                  </from>
                  <to>
                    <xdr:col>1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68580</xdr:rowOff>
                  </from>
                  <to>
                    <xdr:col>1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68580</xdr:rowOff>
                  </from>
                  <to>
                    <xdr:col>1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68580</xdr:rowOff>
                  </from>
                  <to>
                    <xdr:col>1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68580</xdr:rowOff>
                  </from>
                  <to>
                    <xdr:col>1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68580</xdr:rowOff>
                  </from>
                  <to>
                    <xdr:col>1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68580</xdr:rowOff>
                  </from>
                  <to>
                    <xdr:col>1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68580</xdr:rowOff>
                  </from>
                  <to>
                    <xdr:col>1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68580</xdr:rowOff>
                  </from>
                  <to>
                    <xdr:col>1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68580</xdr:rowOff>
                  </from>
                  <to>
                    <xdr:col>1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68580</xdr:rowOff>
                  </from>
                  <to>
                    <xdr:col>1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68580</xdr:rowOff>
                  </from>
                  <to>
                    <xdr:col>1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Check Box 34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68580</xdr:rowOff>
                  </from>
                  <to>
                    <xdr:col>1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Check Box 35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68580</xdr:rowOff>
                  </from>
                  <to>
                    <xdr:col>1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Check Box 36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68580</xdr:rowOff>
                  </from>
                  <to>
                    <xdr:col>1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Check Box 37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68580</xdr:rowOff>
                  </from>
                  <to>
                    <xdr:col>1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68580</xdr:rowOff>
                  </from>
                  <to>
                    <xdr:col>2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68580</xdr:rowOff>
                  </from>
                  <to>
                    <xdr:col>2</xdr:col>
                    <xdr:colOff>327660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68580</xdr:rowOff>
                  </from>
                  <to>
                    <xdr:col>2</xdr:col>
                    <xdr:colOff>327660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68580</xdr:rowOff>
                  </from>
                  <to>
                    <xdr:col>2</xdr:col>
                    <xdr:colOff>327660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68580</xdr:rowOff>
                  </from>
                  <to>
                    <xdr:col>2</xdr:col>
                    <xdr:colOff>327660</xdr:colOff>
                    <xdr:row>23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68580</xdr:rowOff>
                  </from>
                  <to>
                    <xdr:col>2</xdr:col>
                    <xdr:colOff>327660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68580</xdr:rowOff>
                  </from>
                  <to>
                    <xdr:col>2</xdr:col>
                    <xdr:colOff>327660</xdr:colOff>
                    <xdr:row>26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68580</xdr:rowOff>
                  </from>
                  <to>
                    <xdr:col>2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68580</xdr:rowOff>
                  </from>
                  <to>
                    <xdr:col>2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68580</xdr:rowOff>
                  </from>
                  <to>
                    <xdr:col>2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68580</xdr:rowOff>
                  </from>
                  <to>
                    <xdr:col>2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68580</xdr:rowOff>
                  </from>
                  <to>
                    <xdr:col>2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68580</xdr:rowOff>
                  </from>
                  <to>
                    <xdr:col>2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68580</xdr:rowOff>
                  </from>
                  <to>
                    <xdr:col>2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68580</xdr:rowOff>
                  </from>
                  <to>
                    <xdr:col>2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3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68580</xdr:rowOff>
                  </from>
                  <to>
                    <xdr:col>2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4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68580</xdr:rowOff>
                  </from>
                  <to>
                    <xdr:col>2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5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68580</xdr:rowOff>
                  </from>
                  <to>
                    <xdr:col>2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6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68580</xdr:rowOff>
                  </from>
                  <to>
                    <xdr:col>2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7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68580</xdr:rowOff>
                  </from>
                  <to>
                    <xdr:col>2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8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68580</xdr:rowOff>
                  </from>
                  <to>
                    <xdr:col>2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9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68580</xdr:rowOff>
                  </from>
                  <to>
                    <xdr:col>2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0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68580</xdr:rowOff>
                  </from>
                  <to>
                    <xdr:col>2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1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68580</xdr:rowOff>
                  </from>
                  <to>
                    <xdr:col>2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2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68580</xdr:rowOff>
                  </from>
                  <to>
                    <xdr:col>2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3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68580</xdr:rowOff>
                  </from>
                  <to>
                    <xdr:col>2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4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68580</xdr:rowOff>
                  </from>
                  <to>
                    <xdr:col>2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5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68580</xdr:rowOff>
                  </from>
                  <to>
                    <xdr:col>2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6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68580</xdr:rowOff>
                  </from>
                  <to>
                    <xdr:col>2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7" r:id="rId70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68580</xdr:rowOff>
                  </from>
                  <to>
                    <xdr:col>2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8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68580</xdr:rowOff>
                  </from>
                  <to>
                    <xdr:col>2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9" r:id="rId72" name="Check Box 69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68580</xdr:rowOff>
                  </from>
                  <to>
                    <xdr:col>2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0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68580</xdr:rowOff>
                  </from>
                  <to>
                    <xdr:col>2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1" r:id="rId74" name="Check Box 71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68580</xdr:rowOff>
                  </from>
                  <to>
                    <xdr:col>2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2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68580</xdr:rowOff>
                  </from>
                  <to>
                    <xdr:col>2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3" r:id="rId76" name="Check Box 73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68580</xdr:rowOff>
                  </from>
                  <to>
                    <xdr:col>2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4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68580</xdr:rowOff>
                  </from>
                  <to>
                    <xdr:col>2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5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68580</xdr:rowOff>
                  </from>
                  <to>
                    <xdr:col>1</xdr:col>
                    <xdr:colOff>304800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6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68580</xdr:rowOff>
                  </from>
                  <to>
                    <xdr:col>2</xdr:col>
                    <xdr:colOff>327660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7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68580</xdr:rowOff>
                  </from>
                  <to>
                    <xdr:col>1</xdr:col>
                    <xdr:colOff>320040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8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68580</xdr:rowOff>
                  </from>
                  <to>
                    <xdr:col>2</xdr:col>
                    <xdr:colOff>327660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9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68580</xdr:rowOff>
                  </from>
                  <to>
                    <xdr:col>1</xdr:col>
                    <xdr:colOff>327660</xdr:colOff>
                    <xdr:row>25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0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68580</xdr:rowOff>
                  </from>
                  <to>
                    <xdr:col>2</xdr:col>
                    <xdr:colOff>327660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1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68580</xdr:rowOff>
                  </from>
                  <to>
                    <xdr:col>1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2" r:id="rId85" name="Check Box 8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68580</xdr:rowOff>
                  </from>
                  <to>
                    <xdr:col>2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3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68580</xdr:rowOff>
                  </from>
                  <to>
                    <xdr:col>1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4" r:id="rId87" name="Check Box 84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68580</xdr:rowOff>
                  </from>
                  <to>
                    <xdr:col>2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5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68580</xdr:rowOff>
                  </from>
                  <to>
                    <xdr:col>1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6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68580</xdr:rowOff>
                  </from>
                  <to>
                    <xdr:col>2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7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68580</xdr:rowOff>
                  </from>
                  <to>
                    <xdr:col>1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8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68580</xdr:rowOff>
                  </from>
                  <to>
                    <xdr:col>2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9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68580</xdr:rowOff>
                  </from>
                  <to>
                    <xdr:col>1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0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68580</xdr:rowOff>
                  </from>
                  <to>
                    <xdr:col>2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83CA-B4CE-427B-A763-48F8E5E99467}">
  <dimension ref="A5:AH92"/>
  <sheetViews>
    <sheetView showGridLines="0" tabSelected="1" workbookViewId="0">
      <selection activeCell="G12" sqref="G12"/>
    </sheetView>
  </sheetViews>
  <sheetFormatPr defaultColWidth="9.33203125" defaultRowHeight="13.2" x14ac:dyDescent="0.25"/>
  <cols>
    <col min="1" max="1" width="54.6640625" customWidth="1"/>
    <col min="2" max="3" width="6.77734375" customWidth="1"/>
    <col min="4" max="4" width="44.77734375" style="4" customWidth="1"/>
    <col min="6" max="25" width="9.33203125" customWidth="1"/>
    <col min="27" max="28" width="9.33203125" style="34"/>
    <col min="29" max="30" width="4.21875" style="35" customWidth="1"/>
    <col min="31" max="31" width="3.33203125" style="35" customWidth="1"/>
    <col min="32" max="33" width="9.33203125" style="35"/>
    <col min="34" max="34" width="9.33203125" style="36"/>
  </cols>
  <sheetData>
    <row r="5" spans="1:34" ht="13.05" customHeight="1" x14ac:dyDescent="0.25">
      <c r="A5" s="79" t="s">
        <v>59</v>
      </c>
      <c r="B5" s="79"/>
      <c r="C5" s="79"/>
      <c r="D5" s="79"/>
    </row>
    <row r="6" spans="1:34" ht="13.05" customHeight="1" x14ac:dyDescent="0.25">
      <c r="A6" s="80" t="s">
        <v>60</v>
      </c>
      <c r="B6" s="80"/>
      <c r="C6" s="80"/>
      <c r="D6" s="80"/>
    </row>
    <row r="7" spans="1:34" x14ac:dyDescent="0.25">
      <c r="A7" s="78"/>
      <c r="B7" s="78"/>
      <c r="C7" s="78"/>
      <c r="D7" s="78"/>
    </row>
    <row r="8" spans="1:34" ht="13.05" customHeight="1" thickBot="1" x14ac:dyDescent="0.3">
      <c r="A8" s="83" t="s">
        <v>61</v>
      </c>
      <c r="B8" s="83"/>
      <c r="C8" s="83"/>
      <c r="D8" s="83"/>
    </row>
    <row r="9" spans="1:34" ht="7.05" customHeight="1" thickTop="1" x14ac:dyDescent="0.25">
      <c r="A9" s="18"/>
      <c r="B9" s="18"/>
      <c r="C9" s="18"/>
      <c r="D9" s="18"/>
    </row>
    <row r="10" spans="1:34" ht="13.8" x14ac:dyDescent="0.25">
      <c r="A10" s="82" t="s">
        <v>45</v>
      </c>
      <c r="B10" s="82"/>
      <c r="C10" s="82"/>
      <c r="D10" s="82"/>
    </row>
    <row r="11" spans="1:34" x14ac:dyDescent="0.25">
      <c r="A11" s="3" t="s">
        <v>46</v>
      </c>
      <c r="B11" s="88" t="s">
        <v>88</v>
      </c>
      <c r="C11" s="88"/>
      <c r="D11" s="88"/>
    </row>
    <row r="12" spans="1:34" x14ac:dyDescent="0.25">
      <c r="A12" s="16" t="s">
        <v>55</v>
      </c>
      <c r="B12" s="88"/>
      <c r="C12" s="88"/>
      <c r="D12" s="88"/>
    </row>
    <row r="13" spans="1:34" x14ac:dyDescent="0.25">
      <c r="A13" s="16" t="s">
        <v>56</v>
      </c>
      <c r="B13" s="88"/>
      <c r="C13" s="88"/>
      <c r="D13" s="88"/>
    </row>
    <row r="14" spans="1:34" ht="22.5" customHeight="1" thickBot="1" x14ac:dyDescent="0.3">
      <c r="A14" s="15" t="s">
        <v>54</v>
      </c>
    </row>
    <row r="15" spans="1:34" ht="13.8" thickBot="1" x14ac:dyDescent="0.3">
      <c r="A15" s="10" t="s">
        <v>0</v>
      </c>
      <c r="B15" s="11" t="s">
        <v>1</v>
      </c>
      <c r="C15" s="11" t="s">
        <v>2</v>
      </c>
      <c r="D15" s="12" t="s">
        <v>3</v>
      </c>
    </row>
    <row r="16" spans="1:34" ht="25.05" customHeight="1" x14ac:dyDescent="0.25">
      <c r="A16" s="8" t="s">
        <v>4</v>
      </c>
      <c r="B16" s="9"/>
      <c r="C16" s="9"/>
      <c r="D16" s="23"/>
      <c r="AA16" s="34" t="b">
        <v>0</v>
      </c>
      <c r="AB16" s="34" t="b">
        <v>0</v>
      </c>
      <c r="AC16" s="35">
        <f>IF(AA16="","",IF(AA16=TRUE,1,0))</f>
        <v>0</v>
      </c>
      <c r="AD16" s="35">
        <f>IF(AB16="","",IF(AB16=TRUE,0.5,0))</f>
        <v>0</v>
      </c>
      <c r="AE16" s="40">
        <f>SUM(AC16:AD16)</f>
        <v>0</v>
      </c>
      <c r="AF16" s="37">
        <f>IF(AE16=1,AC16,0)</f>
        <v>0</v>
      </c>
      <c r="AG16" s="37">
        <f>IF(AE16=1,AD16,0)</f>
        <v>0</v>
      </c>
      <c r="AH16" s="36" t="str">
        <f>IF(AD16=0,"",IF(AD16=1,2,0))</f>
        <v/>
      </c>
    </row>
    <row r="17" spans="1:34" ht="25.05" customHeight="1" x14ac:dyDescent="0.25">
      <c r="A17" s="5" t="s">
        <v>5</v>
      </c>
      <c r="B17" s="2"/>
      <c r="C17" s="2"/>
      <c r="D17" s="24"/>
      <c r="AA17" s="34" t="b">
        <v>0</v>
      </c>
      <c r="AB17" s="34" t="b">
        <v>0</v>
      </c>
      <c r="AC17" s="35">
        <f t="shared" ref="AC17:AD76" si="0">IF(AA17="","",IF(AA17=TRUE,1,0))</f>
        <v>0</v>
      </c>
      <c r="AD17" s="35">
        <f t="shared" ref="AD17:AD20" si="1">IF(AB17="","",IF(AB17=TRUE,0.5,0))</f>
        <v>0</v>
      </c>
      <c r="AE17" s="35">
        <f t="shared" ref="AE17:AE76" si="2">SUM(AC17:AD17)</f>
        <v>0</v>
      </c>
      <c r="AF17" s="37">
        <f t="shared" ref="AF17:AF76" si="3">IF(AE17=1,AC17,0)</f>
        <v>0</v>
      </c>
      <c r="AG17" s="37">
        <f t="shared" ref="AG17:AG76" si="4">IF(AE17=1,AD17,0)</f>
        <v>0</v>
      </c>
      <c r="AH17" s="36" t="str">
        <f t="shared" ref="AH17:AH20" si="5">IF(AD17=0,"",IF(AD17=1,2,0))</f>
        <v/>
      </c>
    </row>
    <row r="18" spans="1:34" ht="25.05" customHeight="1" x14ac:dyDescent="0.25">
      <c r="A18" s="5" t="s">
        <v>6</v>
      </c>
      <c r="B18" s="2"/>
      <c r="C18" s="2"/>
      <c r="D18" s="24"/>
      <c r="AA18" s="34" t="b">
        <v>0</v>
      </c>
      <c r="AB18" s="34" t="b">
        <v>0</v>
      </c>
      <c r="AC18" s="35">
        <f t="shared" si="0"/>
        <v>0</v>
      </c>
      <c r="AD18" s="35">
        <f t="shared" si="1"/>
        <v>0</v>
      </c>
      <c r="AE18" s="35">
        <f t="shared" si="2"/>
        <v>0</v>
      </c>
      <c r="AF18" s="37">
        <f t="shared" si="3"/>
        <v>0</v>
      </c>
      <c r="AG18" s="37">
        <f t="shared" si="4"/>
        <v>0</v>
      </c>
      <c r="AH18" s="36" t="str">
        <f t="shared" si="5"/>
        <v/>
      </c>
    </row>
    <row r="19" spans="1:34" ht="25.05" customHeight="1" x14ac:dyDescent="0.25">
      <c r="A19" s="32" t="s">
        <v>7</v>
      </c>
      <c r="B19" s="2"/>
      <c r="C19" s="2"/>
      <c r="D19" s="29"/>
      <c r="AA19" s="34" t="b">
        <v>0</v>
      </c>
      <c r="AB19" s="34" t="b">
        <v>0</v>
      </c>
      <c r="AC19" s="35">
        <f t="shared" si="0"/>
        <v>0</v>
      </c>
      <c r="AD19" s="35">
        <f t="shared" si="1"/>
        <v>0</v>
      </c>
      <c r="AE19" s="35">
        <f t="shared" si="2"/>
        <v>0</v>
      </c>
      <c r="AF19" s="37">
        <f t="shared" si="3"/>
        <v>0</v>
      </c>
      <c r="AG19" s="37">
        <f t="shared" si="4"/>
        <v>0</v>
      </c>
      <c r="AH19" s="36" t="str">
        <f t="shared" si="5"/>
        <v/>
      </c>
    </row>
    <row r="20" spans="1:34" ht="25.05" customHeight="1" thickBot="1" x14ac:dyDescent="0.3">
      <c r="A20" s="31"/>
      <c r="B20" s="7"/>
      <c r="C20" s="7"/>
      <c r="D20" s="25"/>
      <c r="AA20" s="34" t="b">
        <v>0</v>
      </c>
      <c r="AB20" s="34" t="b">
        <v>0</v>
      </c>
      <c r="AC20" s="35">
        <f t="shared" si="0"/>
        <v>0</v>
      </c>
      <c r="AD20" s="35">
        <f t="shared" si="1"/>
        <v>0</v>
      </c>
      <c r="AE20" s="35">
        <f t="shared" si="2"/>
        <v>0</v>
      </c>
      <c r="AF20" s="37">
        <f t="shared" si="3"/>
        <v>0</v>
      </c>
      <c r="AG20" s="37">
        <f t="shared" si="4"/>
        <v>0</v>
      </c>
      <c r="AH20" s="36" t="str">
        <f t="shared" si="5"/>
        <v/>
      </c>
    </row>
    <row r="21" spans="1:34" ht="21.6" customHeight="1" thickBot="1" x14ac:dyDescent="0.3">
      <c r="A21" s="15" t="s">
        <v>53</v>
      </c>
      <c r="B21" s="18">
        <f>AF21</f>
        <v>0</v>
      </c>
      <c r="C21" s="18">
        <f>AG21</f>
        <v>0</v>
      </c>
      <c r="AC21" s="35" t="str">
        <f t="shared" si="0"/>
        <v/>
      </c>
      <c r="AD21" s="35" t="str">
        <f t="shared" si="0"/>
        <v/>
      </c>
      <c r="AF21" s="38">
        <f>SUM(AF16:AF20)</f>
        <v>0</v>
      </c>
      <c r="AG21" s="38">
        <f>SUM(AG16:AG20)</f>
        <v>0</v>
      </c>
    </row>
    <row r="22" spans="1:34" ht="21.6" customHeight="1" thickBot="1" x14ac:dyDescent="0.3">
      <c r="A22" s="10" t="s">
        <v>0</v>
      </c>
      <c r="B22" s="11" t="s">
        <v>1</v>
      </c>
      <c r="C22" s="14" t="s">
        <v>2</v>
      </c>
      <c r="D22" s="12" t="s">
        <v>3</v>
      </c>
      <c r="AC22" s="35" t="str">
        <f t="shared" si="0"/>
        <v/>
      </c>
      <c r="AD22" s="35" t="str">
        <f t="shared" si="0"/>
        <v/>
      </c>
      <c r="AF22" s="37"/>
      <c r="AG22" s="37"/>
    </row>
    <row r="23" spans="1:34" ht="21.6" customHeight="1" x14ac:dyDescent="0.25">
      <c r="A23" s="13" t="s">
        <v>8</v>
      </c>
      <c r="B23" s="2"/>
      <c r="C23" s="2"/>
      <c r="D23" s="26"/>
      <c r="AA23" s="34" t="b">
        <v>0</v>
      </c>
      <c r="AB23" s="34" t="b">
        <v>0</v>
      </c>
      <c r="AC23" s="35">
        <f t="shared" si="0"/>
        <v>0</v>
      </c>
      <c r="AD23" s="35">
        <f>IF(AB23="","",IF(AB23=TRUE,0.5,0))</f>
        <v>0</v>
      </c>
      <c r="AE23" s="35">
        <f t="shared" si="2"/>
        <v>0</v>
      </c>
      <c r="AF23" s="37">
        <f t="shared" si="3"/>
        <v>0</v>
      </c>
      <c r="AG23" s="37">
        <f t="shared" si="4"/>
        <v>0</v>
      </c>
      <c r="AH23" s="36" t="str">
        <f>IF(AD23=0,"",IF(AD23=1,2,0))</f>
        <v/>
      </c>
    </row>
    <row r="24" spans="1:34" ht="21.6" customHeight="1" x14ac:dyDescent="0.25">
      <c r="A24" s="5" t="s">
        <v>9</v>
      </c>
      <c r="B24" s="2"/>
      <c r="C24" s="2"/>
      <c r="D24" s="27"/>
      <c r="AA24" s="34" t="b">
        <v>0</v>
      </c>
      <c r="AB24" s="34" t="b">
        <v>0</v>
      </c>
      <c r="AC24" s="35">
        <f t="shared" si="0"/>
        <v>0</v>
      </c>
      <c r="AD24" s="35">
        <f t="shared" ref="AD24:AD27" si="6">IF(AB24="","",IF(AB24=TRUE,0.5,0))</f>
        <v>0</v>
      </c>
      <c r="AE24" s="35">
        <f t="shared" si="2"/>
        <v>0</v>
      </c>
      <c r="AF24" s="37">
        <f t="shared" si="3"/>
        <v>0</v>
      </c>
      <c r="AG24" s="37">
        <f t="shared" si="4"/>
        <v>0</v>
      </c>
      <c r="AH24" s="36" t="str">
        <f t="shared" ref="AH24:AH27" si="7">IF(AD24=0,"",IF(AD24=1,2,0))</f>
        <v/>
      </c>
    </row>
    <row r="25" spans="1:34" ht="21.6" customHeight="1" x14ac:dyDescent="0.25">
      <c r="A25" s="5" t="s">
        <v>10</v>
      </c>
      <c r="B25" s="2"/>
      <c r="C25" s="2"/>
      <c r="D25" s="27"/>
      <c r="AA25" s="34" t="b">
        <v>0</v>
      </c>
      <c r="AB25" s="34" t="b">
        <v>0</v>
      </c>
      <c r="AC25" s="35">
        <f t="shared" si="0"/>
        <v>0</v>
      </c>
      <c r="AD25" s="35">
        <f t="shared" si="6"/>
        <v>0</v>
      </c>
      <c r="AE25" s="35">
        <f t="shared" si="2"/>
        <v>0</v>
      </c>
      <c r="AF25" s="37">
        <f t="shared" si="3"/>
        <v>0</v>
      </c>
      <c r="AG25" s="37">
        <f t="shared" si="4"/>
        <v>0</v>
      </c>
      <c r="AH25" s="36" t="str">
        <f t="shared" si="7"/>
        <v/>
      </c>
    </row>
    <row r="26" spans="1:34" ht="21.6" customHeight="1" x14ac:dyDescent="0.25">
      <c r="A26" s="32" t="s">
        <v>11</v>
      </c>
      <c r="B26" s="2"/>
      <c r="C26" s="2"/>
      <c r="D26" s="30"/>
      <c r="AA26" s="34" t="b">
        <v>0</v>
      </c>
      <c r="AB26" s="34" t="b">
        <v>0</v>
      </c>
      <c r="AC26" s="35">
        <f t="shared" si="0"/>
        <v>0</v>
      </c>
      <c r="AD26" s="35">
        <f t="shared" si="6"/>
        <v>0</v>
      </c>
      <c r="AE26" s="35">
        <f t="shared" si="2"/>
        <v>0</v>
      </c>
      <c r="AF26" s="37">
        <f t="shared" si="3"/>
        <v>0</v>
      </c>
      <c r="AG26" s="37">
        <f t="shared" si="4"/>
        <v>0</v>
      </c>
      <c r="AH26" s="36" t="str">
        <f t="shared" si="7"/>
        <v/>
      </c>
    </row>
    <row r="27" spans="1:34" ht="21.6" customHeight="1" thickBot="1" x14ac:dyDescent="0.3">
      <c r="A27" s="31"/>
      <c r="B27" s="7"/>
      <c r="C27" s="7"/>
      <c r="D27" s="28"/>
      <c r="AA27" s="34" t="b">
        <v>0</v>
      </c>
      <c r="AB27" s="34" t="b">
        <v>0</v>
      </c>
      <c r="AC27" s="35">
        <f t="shared" si="0"/>
        <v>0</v>
      </c>
      <c r="AD27" s="35">
        <f t="shared" si="6"/>
        <v>0</v>
      </c>
      <c r="AE27" s="35">
        <f t="shared" si="2"/>
        <v>0</v>
      </c>
      <c r="AF27" s="37">
        <f t="shared" si="3"/>
        <v>0</v>
      </c>
      <c r="AG27" s="37">
        <f t="shared" si="4"/>
        <v>0</v>
      </c>
      <c r="AH27" s="36" t="str">
        <f t="shared" si="7"/>
        <v/>
      </c>
    </row>
    <row r="28" spans="1:34" ht="21.6" customHeight="1" thickBot="1" x14ac:dyDescent="0.3">
      <c r="A28" s="15" t="s">
        <v>52</v>
      </c>
      <c r="B28" s="18">
        <f>AF28</f>
        <v>0</v>
      </c>
      <c r="C28" s="18">
        <f>AG28</f>
        <v>0</v>
      </c>
      <c r="AC28" s="35" t="str">
        <f t="shared" si="0"/>
        <v/>
      </c>
      <c r="AD28" s="35" t="str">
        <f t="shared" si="0"/>
        <v/>
      </c>
      <c r="AF28" s="38">
        <f>SUM(AF23:AF27)</f>
        <v>0</v>
      </c>
      <c r="AG28" s="38">
        <f>SUM(AG23:AG27)</f>
        <v>0</v>
      </c>
    </row>
    <row r="29" spans="1:34" ht="21.6" customHeight="1" thickBot="1" x14ac:dyDescent="0.3">
      <c r="A29" s="10" t="s">
        <v>0</v>
      </c>
      <c r="B29" s="11" t="s">
        <v>1</v>
      </c>
      <c r="C29" s="14" t="s">
        <v>2</v>
      </c>
      <c r="D29" s="12" t="s">
        <v>3</v>
      </c>
      <c r="AC29" s="35" t="str">
        <f t="shared" si="0"/>
        <v/>
      </c>
      <c r="AD29" s="35" t="str">
        <f t="shared" si="0"/>
        <v/>
      </c>
      <c r="AF29" s="37"/>
      <c r="AG29" s="37"/>
    </row>
    <row r="30" spans="1:34" ht="21.6" customHeight="1" x14ac:dyDescent="0.25">
      <c r="A30" s="13" t="s">
        <v>12</v>
      </c>
      <c r="B30" s="2"/>
      <c r="C30" s="2"/>
      <c r="D30" s="26"/>
      <c r="AA30" s="34" t="b">
        <v>0</v>
      </c>
      <c r="AB30" s="34" t="b">
        <v>0</v>
      </c>
      <c r="AC30" s="35">
        <f t="shared" si="0"/>
        <v>0</v>
      </c>
      <c r="AD30" s="35">
        <f>IF(AB30="","",IF(AB30=TRUE,0.5,0))</f>
        <v>0</v>
      </c>
      <c r="AE30" s="35">
        <f t="shared" si="2"/>
        <v>0</v>
      </c>
      <c r="AF30" s="37">
        <f t="shared" si="3"/>
        <v>0</v>
      </c>
      <c r="AG30" s="37">
        <f t="shared" si="4"/>
        <v>0</v>
      </c>
      <c r="AH30" s="36" t="str">
        <f>IF(AD30=0,"",IF(AD30=1,2,0))</f>
        <v/>
      </c>
    </row>
    <row r="31" spans="1:34" ht="21.6" customHeight="1" x14ac:dyDescent="0.25">
      <c r="A31" s="5" t="s">
        <v>13</v>
      </c>
      <c r="B31" s="2"/>
      <c r="C31" s="2"/>
      <c r="D31" s="27"/>
      <c r="AA31" s="34" t="b">
        <v>0</v>
      </c>
      <c r="AB31" s="34" t="b">
        <v>0</v>
      </c>
      <c r="AC31" s="35">
        <f t="shared" si="0"/>
        <v>0</v>
      </c>
      <c r="AD31" s="35">
        <f t="shared" ref="AD31:AD34" si="8">IF(AB31="","",IF(AB31=TRUE,0.5,0))</f>
        <v>0</v>
      </c>
      <c r="AE31" s="35">
        <f t="shared" si="2"/>
        <v>0</v>
      </c>
      <c r="AF31" s="37">
        <f t="shared" si="3"/>
        <v>0</v>
      </c>
      <c r="AG31" s="37">
        <f t="shared" si="4"/>
        <v>0</v>
      </c>
      <c r="AH31" s="36" t="str">
        <f t="shared" ref="AH31:AH34" si="9">IF(AD31=0,"",IF(AD31=1,2,0))</f>
        <v/>
      </c>
    </row>
    <row r="32" spans="1:34" ht="21.6" customHeight="1" x14ac:dyDescent="0.25">
      <c r="A32" s="5" t="s">
        <v>14</v>
      </c>
      <c r="B32" s="2"/>
      <c r="C32" s="2"/>
      <c r="D32" s="27"/>
      <c r="AA32" s="34" t="b">
        <v>0</v>
      </c>
      <c r="AB32" s="34" t="b">
        <v>0</v>
      </c>
      <c r="AC32" s="35">
        <f t="shared" si="0"/>
        <v>0</v>
      </c>
      <c r="AD32" s="35">
        <f t="shared" si="8"/>
        <v>0</v>
      </c>
      <c r="AE32" s="35">
        <f t="shared" si="2"/>
        <v>0</v>
      </c>
      <c r="AF32" s="37">
        <f t="shared" si="3"/>
        <v>0</v>
      </c>
      <c r="AG32" s="37">
        <f t="shared" si="4"/>
        <v>0</v>
      </c>
      <c r="AH32" s="36" t="str">
        <f t="shared" si="9"/>
        <v/>
      </c>
    </row>
    <row r="33" spans="1:34" ht="21.6" customHeight="1" x14ac:dyDescent="0.25">
      <c r="A33" s="32" t="s">
        <v>15</v>
      </c>
      <c r="B33" s="2"/>
      <c r="C33" s="2"/>
      <c r="D33" s="30"/>
      <c r="AA33" s="34" t="b">
        <v>0</v>
      </c>
      <c r="AB33" s="34" t="b">
        <v>0</v>
      </c>
      <c r="AC33" s="35">
        <f t="shared" si="0"/>
        <v>0</v>
      </c>
      <c r="AD33" s="35">
        <f t="shared" si="8"/>
        <v>0</v>
      </c>
      <c r="AE33" s="35">
        <f t="shared" si="2"/>
        <v>0</v>
      </c>
      <c r="AF33" s="37">
        <f t="shared" si="3"/>
        <v>0</v>
      </c>
      <c r="AG33" s="37">
        <f t="shared" si="4"/>
        <v>0</v>
      </c>
      <c r="AH33" s="36" t="str">
        <f t="shared" si="9"/>
        <v/>
      </c>
    </row>
    <row r="34" spans="1:34" ht="21.6" customHeight="1" thickBot="1" x14ac:dyDescent="0.3">
      <c r="A34" s="31"/>
      <c r="B34" s="7"/>
      <c r="C34" s="7"/>
      <c r="D34" s="28"/>
      <c r="AA34" s="34" t="b">
        <v>0</v>
      </c>
      <c r="AB34" s="34" t="b">
        <v>0</v>
      </c>
      <c r="AC34" s="35">
        <f t="shared" si="0"/>
        <v>0</v>
      </c>
      <c r="AD34" s="35">
        <f t="shared" si="8"/>
        <v>0</v>
      </c>
      <c r="AE34" s="35">
        <f t="shared" si="2"/>
        <v>0</v>
      </c>
      <c r="AF34" s="37">
        <f t="shared" si="3"/>
        <v>0</v>
      </c>
      <c r="AG34" s="37">
        <f t="shared" si="4"/>
        <v>0</v>
      </c>
      <c r="AH34" s="36" t="str">
        <f t="shared" si="9"/>
        <v/>
      </c>
    </row>
    <row r="35" spans="1:34" ht="21.6" customHeight="1" thickBot="1" x14ac:dyDescent="0.3">
      <c r="A35" s="15" t="s">
        <v>51</v>
      </c>
      <c r="B35" s="18">
        <f>AF35</f>
        <v>0</v>
      </c>
      <c r="C35" s="18">
        <f>AG35</f>
        <v>0</v>
      </c>
      <c r="AC35" s="35" t="str">
        <f t="shared" si="0"/>
        <v/>
      </c>
      <c r="AD35" s="35" t="str">
        <f t="shared" si="0"/>
        <v/>
      </c>
      <c r="AF35" s="38">
        <f>SUM(AF30:AF34)</f>
        <v>0</v>
      </c>
      <c r="AG35" s="38">
        <f>SUM(AG30:AG34)</f>
        <v>0</v>
      </c>
    </row>
    <row r="36" spans="1:34" ht="21.6" customHeight="1" thickBot="1" x14ac:dyDescent="0.3">
      <c r="A36" s="10" t="s">
        <v>0</v>
      </c>
      <c r="B36" s="11" t="s">
        <v>1</v>
      </c>
      <c r="C36" s="14" t="s">
        <v>2</v>
      </c>
      <c r="D36" s="12" t="s">
        <v>3</v>
      </c>
      <c r="AC36" s="35" t="str">
        <f t="shared" si="0"/>
        <v/>
      </c>
      <c r="AD36" s="35" t="str">
        <f t="shared" si="0"/>
        <v/>
      </c>
      <c r="AF36" s="37"/>
      <c r="AG36" s="37"/>
    </row>
    <row r="37" spans="1:34" ht="21.6" customHeight="1" x14ac:dyDescent="0.25">
      <c r="A37" s="13" t="s">
        <v>16</v>
      </c>
      <c r="B37" s="2"/>
      <c r="C37" s="2"/>
      <c r="D37" s="26"/>
      <c r="AA37" s="34" t="b">
        <v>0</v>
      </c>
      <c r="AB37" s="34" t="b">
        <v>0</v>
      </c>
      <c r="AC37" s="35">
        <f t="shared" si="0"/>
        <v>0</v>
      </c>
      <c r="AD37" s="35">
        <f>IF(AB37="","",IF(AB37=TRUE,0.5,0))</f>
        <v>0</v>
      </c>
      <c r="AE37" s="35">
        <f t="shared" si="2"/>
        <v>0</v>
      </c>
      <c r="AF37" s="37">
        <f t="shared" si="3"/>
        <v>0</v>
      </c>
      <c r="AG37" s="37">
        <f t="shared" si="4"/>
        <v>0</v>
      </c>
      <c r="AH37" s="36" t="str">
        <f>IF(AD37=0,"",IF(AD37=1,2,0))</f>
        <v/>
      </c>
    </row>
    <row r="38" spans="1:34" ht="21.6" customHeight="1" x14ac:dyDescent="0.25">
      <c r="A38" s="5" t="s">
        <v>17</v>
      </c>
      <c r="B38" s="2"/>
      <c r="C38" s="2"/>
      <c r="D38" s="27"/>
      <c r="AA38" s="34" t="b">
        <v>0</v>
      </c>
      <c r="AB38" s="34" t="b">
        <v>0</v>
      </c>
      <c r="AC38" s="35">
        <f t="shared" si="0"/>
        <v>0</v>
      </c>
      <c r="AD38" s="35">
        <f t="shared" ref="AD38:AD41" si="10">IF(AB38="","",IF(AB38=TRUE,0.5,0))</f>
        <v>0</v>
      </c>
      <c r="AE38" s="35">
        <f t="shared" si="2"/>
        <v>0</v>
      </c>
      <c r="AF38" s="37">
        <f t="shared" si="3"/>
        <v>0</v>
      </c>
      <c r="AG38" s="37">
        <f t="shared" si="4"/>
        <v>0</v>
      </c>
      <c r="AH38" s="36" t="str">
        <f t="shared" ref="AH38:AH41" si="11">IF(AD38=0,"",IF(AD38=1,2,0))</f>
        <v/>
      </c>
    </row>
    <row r="39" spans="1:34" ht="21.6" customHeight="1" x14ac:dyDescent="0.25">
      <c r="A39" s="5" t="s">
        <v>18</v>
      </c>
      <c r="B39" s="2"/>
      <c r="C39" s="2"/>
      <c r="D39" s="27"/>
      <c r="AA39" s="34" t="b">
        <v>0</v>
      </c>
      <c r="AB39" s="34" t="b">
        <v>0</v>
      </c>
      <c r="AC39" s="35">
        <f t="shared" si="0"/>
        <v>0</v>
      </c>
      <c r="AD39" s="35">
        <f t="shared" si="10"/>
        <v>0</v>
      </c>
      <c r="AE39" s="35">
        <f t="shared" si="2"/>
        <v>0</v>
      </c>
      <c r="AF39" s="37">
        <f t="shared" si="3"/>
        <v>0</v>
      </c>
      <c r="AG39" s="37">
        <f t="shared" si="4"/>
        <v>0</v>
      </c>
      <c r="AH39" s="36" t="str">
        <f t="shared" si="11"/>
        <v/>
      </c>
    </row>
    <row r="40" spans="1:34" ht="21.6" customHeight="1" x14ac:dyDescent="0.25">
      <c r="A40" s="32" t="s">
        <v>19</v>
      </c>
      <c r="B40" s="2"/>
      <c r="C40" s="2"/>
      <c r="D40" s="30"/>
      <c r="AA40" s="34" t="b">
        <v>0</v>
      </c>
      <c r="AB40" s="34" t="b">
        <v>0</v>
      </c>
      <c r="AC40" s="35">
        <f t="shared" si="0"/>
        <v>0</v>
      </c>
      <c r="AD40" s="35">
        <f t="shared" si="10"/>
        <v>0</v>
      </c>
      <c r="AE40" s="35">
        <f t="shared" si="2"/>
        <v>0</v>
      </c>
      <c r="AF40" s="37">
        <f t="shared" si="3"/>
        <v>0</v>
      </c>
      <c r="AG40" s="37">
        <f t="shared" si="4"/>
        <v>0</v>
      </c>
      <c r="AH40" s="36" t="str">
        <f t="shared" si="11"/>
        <v/>
      </c>
    </row>
    <row r="41" spans="1:34" ht="21.6" customHeight="1" thickBot="1" x14ac:dyDescent="0.3">
      <c r="A41" s="31"/>
      <c r="B41" s="7"/>
      <c r="C41" s="7"/>
      <c r="D41" s="28"/>
      <c r="AA41" s="34" t="b">
        <v>0</v>
      </c>
      <c r="AB41" s="34" t="b">
        <v>0</v>
      </c>
      <c r="AC41" s="35">
        <f t="shared" si="0"/>
        <v>0</v>
      </c>
      <c r="AD41" s="35">
        <f t="shared" si="10"/>
        <v>0</v>
      </c>
      <c r="AE41" s="35">
        <f t="shared" si="2"/>
        <v>0</v>
      </c>
      <c r="AF41" s="37">
        <f t="shared" si="3"/>
        <v>0</v>
      </c>
      <c r="AG41" s="37">
        <f t="shared" si="4"/>
        <v>0</v>
      </c>
      <c r="AH41" s="36" t="str">
        <f t="shared" si="11"/>
        <v/>
      </c>
    </row>
    <row r="42" spans="1:34" ht="21.6" customHeight="1" thickBot="1" x14ac:dyDescent="0.3">
      <c r="A42" s="17" t="s">
        <v>58</v>
      </c>
      <c r="B42" s="18">
        <f>AF42</f>
        <v>0</v>
      </c>
      <c r="C42" s="18">
        <f>AG42</f>
        <v>0</v>
      </c>
      <c r="AC42" s="35" t="str">
        <f t="shared" si="0"/>
        <v/>
      </c>
      <c r="AD42" s="35" t="str">
        <f t="shared" si="0"/>
        <v/>
      </c>
      <c r="AF42" s="38">
        <f>SUM(AF37:AF41)</f>
        <v>0</v>
      </c>
      <c r="AG42" s="38">
        <f>SUM(AG37:AG41)</f>
        <v>0</v>
      </c>
    </row>
    <row r="43" spans="1:34" ht="21.6" customHeight="1" thickBot="1" x14ac:dyDescent="0.3">
      <c r="A43" s="10" t="s">
        <v>0</v>
      </c>
      <c r="B43" s="11" t="s">
        <v>1</v>
      </c>
      <c r="C43" s="14" t="s">
        <v>2</v>
      </c>
      <c r="D43" s="12" t="s">
        <v>3</v>
      </c>
      <c r="AC43" s="35" t="str">
        <f t="shared" si="0"/>
        <v/>
      </c>
      <c r="AD43" s="35" t="str">
        <f t="shared" si="0"/>
        <v/>
      </c>
      <c r="AF43" s="37"/>
      <c r="AG43" s="37"/>
    </row>
    <row r="44" spans="1:34" ht="21.6" customHeight="1" x14ac:dyDescent="0.25">
      <c r="A44" s="13" t="s">
        <v>20</v>
      </c>
      <c r="B44" s="2"/>
      <c r="C44" s="2"/>
      <c r="D44" s="26"/>
      <c r="AA44" s="34" t="b">
        <v>0</v>
      </c>
      <c r="AB44" s="34" t="b">
        <v>0</v>
      </c>
      <c r="AC44" s="35">
        <f t="shared" si="0"/>
        <v>0</v>
      </c>
      <c r="AD44" s="35">
        <f>IF(AB44="","",IF(AB44=TRUE,0.5,0))</f>
        <v>0</v>
      </c>
      <c r="AE44" s="35">
        <f t="shared" si="2"/>
        <v>0</v>
      </c>
      <c r="AF44" s="37">
        <f t="shared" si="3"/>
        <v>0</v>
      </c>
      <c r="AG44" s="37">
        <f t="shared" si="4"/>
        <v>0</v>
      </c>
      <c r="AH44" s="36" t="str">
        <f>IF(AD44=0,"",IF(AD44=1,2,0))</f>
        <v/>
      </c>
    </row>
    <row r="45" spans="1:34" ht="21.6" customHeight="1" x14ac:dyDescent="0.25">
      <c r="A45" s="5" t="s">
        <v>21</v>
      </c>
      <c r="B45" s="2"/>
      <c r="C45" s="2"/>
      <c r="D45" s="27"/>
      <c r="AA45" s="34" t="b">
        <v>0</v>
      </c>
      <c r="AB45" s="34" t="b">
        <v>0</v>
      </c>
      <c r="AC45" s="35">
        <f t="shared" si="0"/>
        <v>0</v>
      </c>
      <c r="AD45" s="35">
        <f t="shared" ref="AD45:AD48" si="12">IF(AB45="","",IF(AB45=TRUE,0.5,0))</f>
        <v>0</v>
      </c>
      <c r="AE45" s="35">
        <f t="shared" si="2"/>
        <v>0</v>
      </c>
      <c r="AF45" s="37">
        <f t="shared" si="3"/>
        <v>0</v>
      </c>
      <c r="AG45" s="37">
        <f t="shared" si="4"/>
        <v>0</v>
      </c>
      <c r="AH45" s="36" t="str">
        <f t="shared" ref="AH45:AH48" si="13">IF(AD45=0,"",IF(AD45=1,2,0))</f>
        <v/>
      </c>
    </row>
    <row r="46" spans="1:34" ht="21.6" customHeight="1" x14ac:dyDescent="0.25">
      <c r="A46" s="5" t="s">
        <v>22</v>
      </c>
      <c r="B46" s="2"/>
      <c r="C46" s="2"/>
      <c r="D46" s="27"/>
      <c r="AA46" s="34" t="b">
        <v>0</v>
      </c>
      <c r="AB46" s="34" t="b">
        <v>0</v>
      </c>
      <c r="AC46" s="35">
        <f t="shared" si="0"/>
        <v>0</v>
      </c>
      <c r="AD46" s="35">
        <f t="shared" si="12"/>
        <v>0</v>
      </c>
      <c r="AE46" s="35">
        <f t="shared" si="2"/>
        <v>0</v>
      </c>
      <c r="AF46" s="37">
        <f t="shared" si="3"/>
        <v>0</v>
      </c>
      <c r="AG46" s="37">
        <f t="shared" si="4"/>
        <v>0</v>
      </c>
      <c r="AH46" s="36" t="str">
        <f t="shared" si="13"/>
        <v/>
      </c>
    </row>
    <row r="47" spans="1:34" ht="21.6" customHeight="1" x14ac:dyDescent="0.25">
      <c r="A47" s="32" t="s">
        <v>23</v>
      </c>
      <c r="B47" s="2"/>
      <c r="C47" s="2"/>
      <c r="D47" s="30"/>
      <c r="AA47" s="34" t="b">
        <v>0</v>
      </c>
      <c r="AB47" s="34" t="b">
        <v>0</v>
      </c>
      <c r="AC47" s="35">
        <f t="shared" si="0"/>
        <v>0</v>
      </c>
      <c r="AD47" s="35">
        <f t="shared" si="12"/>
        <v>0</v>
      </c>
      <c r="AE47" s="35">
        <f t="shared" si="2"/>
        <v>0</v>
      </c>
      <c r="AF47" s="37">
        <f t="shared" si="3"/>
        <v>0</v>
      </c>
      <c r="AG47" s="37">
        <f t="shared" si="4"/>
        <v>0</v>
      </c>
      <c r="AH47" s="36" t="str">
        <f t="shared" si="13"/>
        <v/>
      </c>
    </row>
    <row r="48" spans="1:34" ht="21.6" customHeight="1" thickBot="1" x14ac:dyDescent="0.3">
      <c r="A48" s="31"/>
      <c r="B48" s="7"/>
      <c r="C48" s="7"/>
      <c r="D48" s="28"/>
      <c r="AA48" s="34" t="b">
        <v>0</v>
      </c>
      <c r="AB48" s="34" t="b">
        <v>0</v>
      </c>
      <c r="AC48" s="35">
        <f t="shared" si="0"/>
        <v>0</v>
      </c>
      <c r="AD48" s="35">
        <f t="shared" si="12"/>
        <v>0</v>
      </c>
      <c r="AE48" s="35">
        <f t="shared" si="2"/>
        <v>0</v>
      </c>
      <c r="AF48" s="37">
        <f t="shared" si="3"/>
        <v>0</v>
      </c>
      <c r="AG48" s="37">
        <f t="shared" si="4"/>
        <v>0</v>
      </c>
      <c r="AH48" s="36" t="str">
        <f t="shared" si="13"/>
        <v/>
      </c>
    </row>
    <row r="49" spans="1:34" ht="21.6" customHeight="1" thickBot="1" x14ac:dyDescent="0.3">
      <c r="A49" s="17" t="s">
        <v>57</v>
      </c>
      <c r="B49" s="18">
        <f>AF49</f>
        <v>0</v>
      </c>
      <c r="C49" s="18">
        <f>AG49</f>
        <v>0</v>
      </c>
      <c r="AC49" s="35" t="str">
        <f t="shared" si="0"/>
        <v/>
      </c>
      <c r="AD49" s="35" t="str">
        <f t="shared" si="0"/>
        <v/>
      </c>
      <c r="AF49" s="38">
        <f>SUM(AF44:AF48)</f>
        <v>0</v>
      </c>
      <c r="AG49" s="38">
        <f>SUM(AG44:AG48)</f>
        <v>0</v>
      </c>
    </row>
    <row r="50" spans="1:34" ht="21.6" customHeight="1" thickBot="1" x14ac:dyDescent="0.3">
      <c r="A50" s="10" t="s">
        <v>0</v>
      </c>
      <c r="B50" s="11" t="s">
        <v>1</v>
      </c>
      <c r="C50" s="14" t="s">
        <v>2</v>
      </c>
      <c r="D50" s="12" t="s">
        <v>3</v>
      </c>
      <c r="AC50" s="35" t="str">
        <f t="shared" si="0"/>
        <v/>
      </c>
      <c r="AD50" s="35" t="str">
        <f t="shared" si="0"/>
        <v/>
      </c>
      <c r="AF50" s="37"/>
      <c r="AG50" s="37"/>
    </row>
    <row r="51" spans="1:34" ht="21.6" customHeight="1" x14ac:dyDescent="0.25">
      <c r="A51" s="13" t="s">
        <v>24</v>
      </c>
      <c r="B51" s="2"/>
      <c r="C51" s="2"/>
      <c r="D51" s="26"/>
      <c r="AA51" s="34" t="b">
        <v>0</v>
      </c>
      <c r="AB51" s="34" t="b">
        <v>0</v>
      </c>
      <c r="AC51" s="35">
        <f t="shared" si="0"/>
        <v>0</v>
      </c>
      <c r="AD51" s="35">
        <f>IF(AB51="","",IF(AB51=TRUE,0.5,0))</f>
        <v>0</v>
      </c>
      <c r="AE51" s="35">
        <f t="shared" si="2"/>
        <v>0</v>
      </c>
      <c r="AF51" s="37">
        <f t="shared" si="3"/>
        <v>0</v>
      </c>
      <c r="AG51" s="37">
        <f t="shared" si="4"/>
        <v>0</v>
      </c>
      <c r="AH51" s="36" t="str">
        <f>IF(AD51=0,"",IF(AD51=1,2,0))</f>
        <v/>
      </c>
    </row>
    <row r="52" spans="1:34" ht="21.6" customHeight="1" x14ac:dyDescent="0.25">
      <c r="A52" s="5" t="s">
        <v>25</v>
      </c>
      <c r="B52" s="2"/>
      <c r="C52" s="2"/>
      <c r="D52" s="27"/>
      <c r="AA52" s="34" t="b">
        <v>0</v>
      </c>
      <c r="AB52" s="34" t="b">
        <v>0</v>
      </c>
      <c r="AC52" s="35">
        <f t="shared" si="0"/>
        <v>0</v>
      </c>
      <c r="AD52" s="35">
        <f t="shared" ref="AD52:AD55" si="14">IF(AB52="","",IF(AB52=TRUE,0.5,0))</f>
        <v>0</v>
      </c>
      <c r="AE52" s="35">
        <f t="shared" si="2"/>
        <v>0</v>
      </c>
      <c r="AF52" s="37">
        <f t="shared" si="3"/>
        <v>0</v>
      </c>
      <c r="AG52" s="37">
        <f t="shared" si="4"/>
        <v>0</v>
      </c>
      <c r="AH52" s="36" t="str">
        <f t="shared" ref="AH52:AH55" si="15">IF(AD52=0,"",IF(AD52=1,2,0))</f>
        <v/>
      </c>
    </row>
    <row r="53" spans="1:34" ht="21.6" customHeight="1" x14ac:dyDescent="0.25">
      <c r="A53" s="5" t="s">
        <v>26</v>
      </c>
      <c r="B53" s="2"/>
      <c r="C53" s="2"/>
      <c r="D53" s="27"/>
      <c r="AA53" s="34" t="b">
        <v>0</v>
      </c>
      <c r="AB53" s="34" t="b">
        <v>0</v>
      </c>
      <c r="AC53" s="35">
        <f t="shared" si="0"/>
        <v>0</v>
      </c>
      <c r="AD53" s="35">
        <f t="shared" si="14"/>
        <v>0</v>
      </c>
      <c r="AE53" s="35">
        <f t="shared" si="2"/>
        <v>0</v>
      </c>
      <c r="AF53" s="37">
        <f t="shared" si="3"/>
        <v>0</v>
      </c>
      <c r="AG53" s="37">
        <f t="shared" si="4"/>
        <v>0</v>
      </c>
      <c r="AH53" s="36" t="str">
        <f t="shared" si="15"/>
        <v/>
      </c>
    </row>
    <row r="54" spans="1:34" ht="21.6" customHeight="1" x14ac:dyDescent="0.25">
      <c r="A54" s="5" t="s">
        <v>27</v>
      </c>
      <c r="B54" s="2"/>
      <c r="C54" s="2"/>
      <c r="D54" s="27"/>
      <c r="AA54" s="34" t="b">
        <v>0</v>
      </c>
      <c r="AB54" s="34" t="b">
        <v>0</v>
      </c>
      <c r="AC54" s="35">
        <f t="shared" si="0"/>
        <v>0</v>
      </c>
      <c r="AD54" s="35">
        <f t="shared" si="14"/>
        <v>0</v>
      </c>
      <c r="AE54" s="35">
        <f t="shared" si="2"/>
        <v>0</v>
      </c>
      <c r="AF54" s="37">
        <f t="shared" si="3"/>
        <v>0</v>
      </c>
      <c r="AG54" s="37">
        <f t="shared" si="4"/>
        <v>0</v>
      </c>
      <c r="AH54" s="36" t="str">
        <f t="shared" si="15"/>
        <v/>
      </c>
    </row>
    <row r="55" spans="1:34" ht="21.6" customHeight="1" thickBot="1" x14ac:dyDescent="0.3">
      <c r="A55" s="6" t="s">
        <v>28</v>
      </c>
      <c r="B55" s="7"/>
      <c r="C55" s="7"/>
      <c r="D55" s="28"/>
      <c r="AA55" s="34" t="b">
        <v>0</v>
      </c>
      <c r="AB55" s="34" t="b">
        <v>0</v>
      </c>
      <c r="AC55" s="35">
        <f t="shared" si="0"/>
        <v>0</v>
      </c>
      <c r="AD55" s="35">
        <f t="shared" si="14"/>
        <v>0</v>
      </c>
      <c r="AE55" s="35">
        <f t="shared" si="2"/>
        <v>0</v>
      </c>
      <c r="AF55" s="37">
        <f t="shared" si="3"/>
        <v>0</v>
      </c>
      <c r="AG55" s="37">
        <f t="shared" si="4"/>
        <v>0</v>
      </c>
      <c r="AH55" s="36" t="str">
        <f t="shared" si="15"/>
        <v/>
      </c>
    </row>
    <row r="56" spans="1:34" ht="21.6" customHeight="1" thickBot="1" x14ac:dyDescent="0.3">
      <c r="A56" s="15" t="s">
        <v>47</v>
      </c>
      <c r="B56" s="18">
        <f>AF56</f>
        <v>0</v>
      </c>
      <c r="C56" s="18">
        <f>AG56</f>
        <v>0</v>
      </c>
      <c r="AC56" s="35" t="str">
        <f t="shared" si="0"/>
        <v/>
      </c>
      <c r="AD56" s="35" t="str">
        <f t="shared" si="0"/>
        <v/>
      </c>
      <c r="AF56" s="38">
        <f>SUM(AF51:AF55)</f>
        <v>0</v>
      </c>
      <c r="AG56" s="38">
        <f>SUM(AG51:AG55)</f>
        <v>0</v>
      </c>
    </row>
    <row r="57" spans="1:34" ht="21.6" customHeight="1" thickBot="1" x14ac:dyDescent="0.3">
      <c r="A57" s="10" t="s">
        <v>0</v>
      </c>
      <c r="B57" s="11" t="s">
        <v>1</v>
      </c>
      <c r="C57" s="14" t="s">
        <v>2</v>
      </c>
      <c r="D57" s="12" t="s">
        <v>3</v>
      </c>
      <c r="AC57" s="35" t="str">
        <f t="shared" si="0"/>
        <v/>
      </c>
      <c r="AD57" s="35" t="str">
        <f t="shared" si="0"/>
        <v/>
      </c>
      <c r="AF57" s="37"/>
      <c r="AG57" s="37"/>
    </row>
    <row r="58" spans="1:34" ht="21.6" customHeight="1" x14ac:dyDescent="0.25">
      <c r="A58" s="13" t="s">
        <v>29</v>
      </c>
      <c r="B58" s="2"/>
      <c r="C58" s="2"/>
      <c r="D58" s="26"/>
      <c r="AA58" s="34" t="b">
        <v>0</v>
      </c>
      <c r="AB58" s="34" t="b">
        <v>0</v>
      </c>
      <c r="AC58" s="35">
        <f t="shared" si="0"/>
        <v>0</v>
      </c>
      <c r="AD58" s="35">
        <f>IF(AB58="","",IF(AB58=TRUE,0.5,0))</f>
        <v>0</v>
      </c>
      <c r="AE58" s="35">
        <f t="shared" si="2"/>
        <v>0</v>
      </c>
      <c r="AF58" s="37">
        <f t="shared" si="3"/>
        <v>0</v>
      </c>
      <c r="AG58" s="37">
        <f t="shared" si="4"/>
        <v>0</v>
      </c>
      <c r="AH58" s="36" t="str">
        <f>IF(AD58=0,"",IF(AD58=1,2,0))</f>
        <v/>
      </c>
    </row>
    <row r="59" spans="1:34" ht="21.6" customHeight="1" x14ac:dyDescent="0.25">
      <c r="A59" s="5" t="s">
        <v>30</v>
      </c>
      <c r="B59" s="2"/>
      <c r="C59" s="2"/>
      <c r="D59" s="27"/>
      <c r="AA59" s="34" t="b">
        <v>0</v>
      </c>
      <c r="AB59" s="34" t="b">
        <v>0</v>
      </c>
      <c r="AC59" s="35">
        <f t="shared" si="0"/>
        <v>0</v>
      </c>
      <c r="AD59" s="35">
        <f t="shared" ref="AD59:AD62" si="16">IF(AB59="","",IF(AB59=TRUE,0.5,0))</f>
        <v>0</v>
      </c>
      <c r="AE59" s="35">
        <f t="shared" si="2"/>
        <v>0</v>
      </c>
      <c r="AF59" s="37">
        <f t="shared" si="3"/>
        <v>0</v>
      </c>
      <c r="AG59" s="37">
        <f t="shared" si="4"/>
        <v>0</v>
      </c>
      <c r="AH59" s="36" t="str">
        <f t="shared" ref="AH59:AH62" si="17">IF(AD59=0,"",IF(AD59=1,2,0))</f>
        <v/>
      </c>
    </row>
    <row r="60" spans="1:34" ht="21.6" customHeight="1" x14ac:dyDescent="0.25">
      <c r="A60" s="5" t="s">
        <v>31</v>
      </c>
      <c r="B60" s="2"/>
      <c r="C60" s="2"/>
      <c r="D60" s="27"/>
      <c r="AA60" s="34" t="b">
        <v>0</v>
      </c>
      <c r="AB60" s="34" t="b">
        <v>0</v>
      </c>
      <c r="AC60" s="35">
        <f t="shared" si="0"/>
        <v>0</v>
      </c>
      <c r="AD60" s="35">
        <f t="shared" si="16"/>
        <v>0</v>
      </c>
      <c r="AE60" s="35">
        <f t="shared" si="2"/>
        <v>0</v>
      </c>
      <c r="AF60" s="37">
        <f t="shared" si="3"/>
        <v>0</v>
      </c>
      <c r="AG60" s="37">
        <f t="shared" si="4"/>
        <v>0</v>
      </c>
      <c r="AH60" s="36" t="str">
        <f t="shared" si="17"/>
        <v/>
      </c>
    </row>
    <row r="61" spans="1:34" ht="21.6" customHeight="1" x14ac:dyDescent="0.25">
      <c r="A61" s="32" t="s">
        <v>32</v>
      </c>
      <c r="B61" s="2"/>
      <c r="C61" s="2"/>
      <c r="D61" s="30"/>
      <c r="AA61" s="34" t="b">
        <v>0</v>
      </c>
      <c r="AB61" s="34" t="b">
        <v>0</v>
      </c>
      <c r="AC61" s="35">
        <f t="shared" si="0"/>
        <v>0</v>
      </c>
      <c r="AD61" s="35">
        <f t="shared" si="16"/>
        <v>0</v>
      </c>
      <c r="AE61" s="35">
        <f t="shared" si="2"/>
        <v>0</v>
      </c>
      <c r="AF61" s="37">
        <f t="shared" si="3"/>
        <v>0</v>
      </c>
      <c r="AG61" s="37">
        <f t="shared" si="4"/>
        <v>0</v>
      </c>
      <c r="AH61" s="36" t="str">
        <f t="shared" si="17"/>
        <v/>
      </c>
    </row>
    <row r="62" spans="1:34" ht="21.6" customHeight="1" thickBot="1" x14ac:dyDescent="0.3">
      <c r="A62" s="31"/>
      <c r="B62" s="7"/>
      <c r="C62" s="7"/>
      <c r="D62" s="28"/>
      <c r="AA62" s="34" t="b">
        <v>0</v>
      </c>
      <c r="AB62" s="34" t="b">
        <v>0</v>
      </c>
      <c r="AC62" s="35">
        <f t="shared" si="0"/>
        <v>0</v>
      </c>
      <c r="AD62" s="35">
        <f t="shared" si="16"/>
        <v>0</v>
      </c>
      <c r="AE62" s="35">
        <f t="shared" si="2"/>
        <v>0</v>
      </c>
      <c r="AF62" s="37">
        <f t="shared" si="3"/>
        <v>0</v>
      </c>
      <c r="AG62" s="37">
        <f t="shared" si="4"/>
        <v>0</v>
      </c>
      <c r="AH62" s="36" t="str">
        <f t="shared" si="17"/>
        <v/>
      </c>
    </row>
    <row r="63" spans="1:34" ht="21.6" customHeight="1" thickBot="1" x14ac:dyDescent="0.3">
      <c r="A63" s="15" t="s">
        <v>48</v>
      </c>
      <c r="B63" s="18">
        <f>AF63</f>
        <v>0</v>
      </c>
      <c r="C63" s="18">
        <f>AG63</f>
        <v>0</v>
      </c>
      <c r="AC63" s="35" t="str">
        <f t="shared" si="0"/>
        <v/>
      </c>
      <c r="AD63" s="35" t="str">
        <f t="shared" si="0"/>
        <v/>
      </c>
      <c r="AF63" s="38">
        <f>SUM(AF58:AF62)</f>
        <v>0</v>
      </c>
      <c r="AG63" s="38">
        <f>SUM(AG58:AG62)</f>
        <v>0</v>
      </c>
    </row>
    <row r="64" spans="1:34" ht="21.6" customHeight="1" thickBot="1" x14ac:dyDescent="0.3">
      <c r="A64" s="10" t="s">
        <v>0</v>
      </c>
      <c r="B64" s="11" t="s">
        <v>1</v>
      </c>
      <c r="C64" s="14" t="s">
        <v>2</v>
      </c>
      <c r="D64" s="12" t="s">
        <v>3</v>
      </c>
      <c r="AC64" s="35" t="str">
        <f t="shared" si="0"/>
        <v/>
      </c>
      <c r="AD64" s="35" t="str">
        <f t="shared" si="0"/>
        <v/>
      </c>
      <c r="AF64" s="37"/>
      <c r="AG64" s="37"/>
    </row>
    <row r="65" spans="1:34" ht="21.6" customHeight="1" x14ac:dyDescent="0.25">
      <c r="A65" s="13" t="s">
        <v>33</v>
      </c>
      <c r="B65" s="2"/>
      <c r="C65" s="2"/>
      <c r="D65" s="26"/>
      <c r="AA65" s="34" t="b">
        <v>0</v>
      </c>
      <c r="AB65" s="34" t="b">
        <v>0</v>
      </c>
      <c r="AC65" s="35">
        <f t="shared" si="0"/>
        <v>0</v>
      </c>
      <c r="AD65" s="35">
        <f>IF(AB65="","",IF(AB65=TRUE,0.5,0))</f>
        <v>0</v>
      </c>
      <c r="AE65" s="35">
        <f t="shared" si="2"/>
        <v>0</v>
      </c>
      <c r="AF65" s="37">
        <f t="shared" si="3"/>
        <v>0</v>
      </c>
      <c r="AG65" s="37">
        <f t="shared" si="4"/>
        <v>0</v>
      </c>
      <c r="AH65" s="36" t="str">
        <f>IF(AD65=0,"",IF(AD65=1,2,0))</f>
        <v/>
      </c>
    </row>
    <row r="66" spans="1:34" ht="21.6" customHeight="1" x14ac:dyDescent="0.25">
      <c r="A66" s="5" t="s">
        <v>34</v>
      </c>
      <c r="B66" s="2"/>
      <c r="C66" s="2"/>
      <c r="D66" s="27"/>
      <c r="AA66" s="34" t="b">
        <v>0</v>
      </c>
      <c r="AB66" s="34" t="b">
        <v>0</v>
      </c>
      <c r="AC66" s="35">
        <f t="shared" si="0"/>
        <v>0</v>
      </c>
      <c r="AD66" s="35">
        <f t="shared" ref="AD66:AD69" si="18">IF(AB66="","",IF(AB66=TRUE,0.5,0))</f>
        <v>0</v>
      </c>
      <c r="AE66" s="35">
        <f t="shared" si="2"/>
        <v>0</v>
      </c>
      <c r="AF66" s="37">
        <f t="shared" si="3"/>
        <v>0</v>
      </c>
      <c r="AG66" s="37">
        <f t="shared" si="4"/>
        <v>0</v>
      </c>
      <c r="AH66" s="36" t="str">
        <f t="shared" ref="AH66:AH69" si="19">IF(AD66=0,"",IF(AD66=1,2,0))</f>
        <v/>
      </c>
    </row>
    <row r="67" spans="1:34" ht="21.6" customHeight="1" x14ac:dyDescent="0.25">
      <c r="A67" s="5" t="s">
        <v>35</v>
      </c>
      <c r="B67" s="2"/>
      <c r="C67" s="2"/>
      <c r="D67" s="27"/>
      <c r="AA67" s="34" t="b">
        <v>0</v>
      </c>
      <c r="AB67" s="34" t="b">
        <v>0</v>
      </c>
      <c r="AC67" s="35">
        <f t="shared" si="0"/>
        <v>0</v>
      </c>
      <c r="AD67" s="35">
        <f t="shared" si="18"/>
        <v>0</v>
      </c>
      <c r="AE67" s="35">
        <f t="shared" si="2"/>
        <v>0</v>
      </c>
      <c r="AF67" s="37">
        <f t="shared" si="3"/>
        <v>0</v>
      </c>
      <c r="AG67" s="37">
        <f t="shared" si="4"/>
        <v>0</v>
      </c>
      <c r="AH67" s="36" t="str">
        <f t="shared" si="19"/>
        <v/>
      </c>
    </row>
    <row r="68" spans="1:34" ht="21.6" customHeight="1" x14ac:dyDescent="0.25">
      <c r="A68" s="5" t="s">
        <v>36</v>
      </c>
      <c r="B68" s="2"/>
      <c r="C68" s="2"/>
      <c r="D68" s="27"/>
      <c r="AA68" s="34" t="b">
        <v>0</v>
      </c>
      <c r="AB68" s="34" t="b">
        <v>0</v>
      </c>
      <c r="AC68" s="35">
        <f t="shared" si="0"/>
        <v>0</v>
      </c>
      <c r="AD68" s="35">
        <f t="shared" si="18"/>
        <v>0</v>
      </c>
      <c r="AE68" s="35">
        <f t="shared" si="2"/>
        <v>0</v>
      </c>
      <c r="AF68" s="37">
        <f t="shared" si="3"/>
        <v>0</v>
      </c>
      <c r="AG68" s="37">
        <f t="shared" si="4"/>
        <v>0</v>
      </c>
      <c r="AH68" s="36" t="str">
        <f t="shared" si="19"/>
        <v/>
      </c>
    </row>
    <row r="69" spans="1:34" ht="21.6" customHeight="1" thickBot="1" x14ac:dyDescent="0.3">
      <c r="A69" s="6" t="s">
        <v>37</v>
      </c>
      <c r="B69" s="7"/>
      <c r="C69" s="7"/>
      <c r="D69" s="28"/>
      <c r="AA69" s="34" t="b">
        <v>0</v>
      </c>
      <c r="AB69" s="34" t="b">
        <v>0</v>
      </c>
      <c r="AC69" s="35">
        <f t="shared" si="0"/>
        <v>0</v>
      </c>
      <c r="AD69" s="35">
        <f t="shared" si="18"/>
        <v>0</v>
      </c>
      <c r="AE69" s="35">
        <f t="shared" si="2"/>
        <v>0</v>
      </c>
      <c r="AF69" s="37">
        <f t="shared" si="3"/>
        <v>0</v>
      </c>
      <c r="AG69" s="37">
        <f t="shared" si="4"/>
        <v>0</v>
      </c>
      <c r="AH69" s="36" t="str">
        <f t="shared" si="19"/>
        <v/>
      </c>
    </row>
    <row r="70" spans="1:34" ht="21.6" customHeight="1" thickBot="1" x14ac:dyDescent="0.3">
      <c r="A70" s="15" t="s">
        <v>49</v>
      </c>
      <c r="B70" s="18">
        <f>AF70</f>
        <v>0</v>
      </c>
      <c r="C70" s="18">
        <f>AG70</f>
        <v>0</v>
      </c>
      <c r="AC70" s="35" t="str">
        <f t="shared" si="0"/>
        <v/>
      </c>
      <c r="AD70" s="35" t="str">
        <f t="shared" si="0"/>
        <v/>
      </c>
      <c r="AF70" s="38">
        <f>SUM(AF65:AF69)</f>
        <v>0</v>
      </c>
      <c r="AG70" s="38">
        <f>SUM(AG65:AG69)</f>
        <v>0</v>
      </c>
    </row>
    <row r="71" spans="1:34" ht="21.6" customHeight="1" thickBot="1" x14ac:dyDescent="0.3">
      <c r="A71" s="10" t="s">
        <v>0</v>
      </c>
      <c r="B71" s="11" t="s">
        <v>1</v>
      </c>
      <c r="C71" s="14" t="s">
        <v>2</v>
      </c>
      <c r="D71" s="12" t="s">
        <v>3</v>
      </c>
      <c r="AC71" s="35" t="str">
        <f t="shared" si="0"/>
        <v/>
      </c>
      <c r="AD71" s="35" t="str">
        <f t="shared" si="0"/>
        <v/>
      </c>
      <c r="AF71" s="37"/>
      <c r="AG71" s="37"/>
    </row>
    <row r="72" spans="1:34" ht="21.6" customHeight="1" x14ac:dyDescent="0.25">
      <c r="A72" s="13" t="s">
        <v>38</v>
      </c>
      <c r="B72" s="2"/>
      <c r="C72" s="2"/>
      <c r="D72" s="26"/>
      <c r="AA72" s="34" t="b">
        <v>0</v>
      </c>
      <c r="AB72" s="34" t="b">
        <v>0</v>
      </c>
      <c r="AC72" s="35">
        <f t="shared" si="0"/>
        <v>0</v>
      </c>
      <c r="AD72" s="35">
        <f>IF(AB72="","",IF(AB72=TRUE,0.5,0))</f>
        <v>0</v>
      </c>
      <c r="AE72" s="35">
        <f t="shared" si="2"/>
        <v>0</v>
      </c>
      <c r="AF72" s="37">
        <f t="shared" si="3"/>
        <v>0</v>
      </c>
      <c r="AG72" s="37">
        <f t="shared" si="4"/>
        <v>0</v>
      </c>
      <c r="AH72" s="36" t="str">
        <f>IF(AD72=0,"",IF(AD72=1,2,0))</f>
        <v/>
      </c>
    </row>
    <row r="73" spans="1:34" ht="21.6" customHeight="1" x14ac:dyDescent="0.25">
      <c r="A73" s="5" t="s">
        <v>39</v>
      </c>
      <c r="B73" s="2"/>
      <c r="C73" s="2"/>
      <c r="D73" s="27"/>
      <c r="AA73" s="34" t="b">
        <v>0</v>
      </c>
      <c r="AB73" s="34" t="b">
        <v>0</v>
      </c>
      <c r="AC73" s="35">
        <f t="shared" si="0"/>
        <v>0</v>
      </c>
      <c r="AD73" s="35">
        <f t="shared" ref="AD73:AD76" si="20">IF(AB73="","",IF(AB73=TRUE,0.5,0))</f>
        <v>0</v>
      </c>
      <c r="AE73" s="35">
        <f t="shared" si="2"/>
        <v>0</v>
      </c>
      <c r="AF73" s="37">
        <f t="shared" si="3"/>
        <v>0</v>
      </c>
      <c r="AG73" s="37">
        <f t="shared" si="4"/>
        <v>0</v>
      </c>
      <c r="AH73" s="36" t="str">
        <f t="shared" ref="AH73:AH76" si="21">IF(AD73=0,"",IF(AD73=1,2,0))</f>
        <v/>
      </c>
    </row>
    <row r="74" spans="1:34" ht="21.6" customHeight="1" x14ac:dyDescent="0.25">
      <c r="A74" s="5" t="s">
        <v>40</v>
      </c>
      <c r="B74" s="2"/>
      <c r="C74" s="2"/>
      <c r="D74" s="27"/>
      <c r="AA74" s="34" t="b">
        <v>0</v>
      </c>
      <c r="AB74" s="34" t="b">
        <v>0</v>
      </c>
      <c r="AC74" s="35">
        <f t="shared" si="0"/>
        <v>0</v>
      </c>
      <c r="AD74" s="35">
        <f t="shared" si="20"/>
        <v>0</v>
      </c>
      <c r="AE74" s="35">
        <f t="shared" si="2"/>
        <v>0</v>
      </c>
      <c r="AF74" s="37">
        <f t="shared" si="3"/>
        <v>0</v>
      </c>
      <c r="AG74" s="37">
        <f t="shared" si="4"/>
        <v>0</v>
      </c>
      <c r="AH74" s="36" t="str">
        <f t="shared" si="21"/>
        <v/>
      </c>
    </row>
    <row r="75" spans="1:34" ht="21.6" customHeight="1" x14ac:dyDescent="0.25">
      <c r="A75" s="32" t="s">
        <v>41</v>
      </c>
      <c r="B75" s="2"/>
      <c r="C75" s="2"/>
      <c r="D75" s="30"/>
      <c r="AA75" s="34" t="b">
        <v>0</v>
      </c>
      <c r="AB75" s="34" t="b">
        <v>0</v>
      </c>
      <c r="AC75" s="35">
        <f t="shared" si="0"/>
        <v>0</v>
      </c>
      <c r="AD75" s="35">
        <f t="shared" si="20"/>
        <v>0</v>
      </c>
      <c r="AE75" s="35">
        <f t="shared" si="2"/>
        <v>0</v>
      </c>
      <c r="AF75" s="37">
        <f t="shared" si="3"/>
        <v>0</v>
      </c>
      <c r="AG75" s="37">
        <f t="shared" si="4"/>
        <v>0</v>
      </c>
      <c r="AH75" s="36" t="str">
        <f t="shared" si="21"/>
        <v/>
      </c>
    </row>
    <row r="76" spans="1:34" ht="21.6" customHeight="1" thickBot="1" x14ac:dyDescent="0.3">
      <c r="A76" s="31"/>
      <c r="B76" s="7"/>
      <c r="C76" s="7"/>
      <c r="D76" s="28"/>
      <c r="AA76" s="34" t="b">
        <v>0</v>
      </c>
      <c r="AB76" s="34" t="b">
        <v>0</v>
      </c>
      <c r="AC76" s="35">
        <f t="shared" si="0"/>
        <v>0</v>
      </c>
      <c r="AD76" s="35">
        <f t="shared" si="20"/>
        <v>0</v>
      </c>
      <c r="AE76" s="35">
        <f t="shared" si="2"/>
        <v>0</v>
      </c>
      <c r="AF76" s="37">
        <f t="shared" si="3"/>
        <v>0</v>
      </c>
      <c r="AG76" s="37">
        <f t="shared" si="4"/>
        <v>0</v>
      </c>
      <c r="AH76" s="36" t="str">
        <f t="shared" si="21"/>
        <v/>
      </c>
    </row>
    <row r="77" spans="1:34" ht="21.6" customHeight="1" x14ac:dyDescent="0.25">
      <c r="A77" s="15" t="s">
        <v>50</v>
      </c>
      <c r="B77" s="18">
        <f>AF77</f>
        <v>0</v>
      </c>
      <c r="C77" s="18">
        <f>AG77</f>
        <v>0</v>
      </c>
      <c r="AF77" s="38">
        <f>SUM(AF71:AF76)</f>
        <v>0</v>
      </c>
      <c r="AG77" s="38">
        <f>SUM(AG71:AG76)</f>
        <v>0</v>
      </c>
    </row>
    <row r="78" spans="1:34" ht="16.05" customHeight="1" x14ac:dyDescent="0.25">
      <c r="A78" s="1" t="s">
        <v>42</v>
      </c>
    </row>
    <row r="79" spans="1:34" ht="41.55" customHeight="1" x14ac:dyDescent="0.25">
      <c r="A79" s="84"/>
      <c r="B79" s="85"/>
      <c r="C79" s="85"/>
      <c r="D79" s="86"/>
      <c r="AF79" s="38">
        <f>SUM(AF21,AF28,AF35,AF42,AF49,AF56,AF63,AF70,AF77)</f>
        <v>0</v>
      </c>
      <c r="AG79" s="38">
        <f>SUM(AG21,AG28,AG35,AG42,AG49,AG56,AG63,AG70,AG77)</f>
        <v>0</v>
      </c>
    </row>
    <row r="80" spans="1:34" ht="21.6" customHeight="1" x14ac:dyDescent="0.25">
      <c r="A80" t="s">
        <v>43</v>
      </c>
    </row>
    <row r="81" spans="1:4" ht="41.55" customHeight="1" x14ac:dyDescent="0.25">
      <c r="A81" s="84"/>
      <c r="B81" s="85"/>
      <c r="C81" s="85"/>
      <c r="D81" s="86"/>
    </row>
    <row r="82" spans="1:4" ht="21.6" customHeight="1" x14ac:dyDescent="0.25">
      <c r="A82" t="s">
        <v>44</v>
      </c>
    </row>
    <row r="83" spans="1:4" ht="41.55" customHeight="1" x14ac:dyDescent="0.25">
      <c r="A83" s="84"/>
      <c r="B83" s="85"/>
      <c r="C83" s="85"/>
      <c r="D83" s="86"/>
    </row>
    <row r="85" spans="1:4" x14ac:dyDescent="0.25">
      <c r="A85" s="19" t="s">
        <v>62</v>
      </c>
      <c r="B85" s="19" t="s">
        <v>64</v>
      </c>
    </row>
    <row r="87" spans="1:4" ht="13.8" x14ac:dyDescent="0.25">
      <c r="A87" s="20" t="s">
        <v>66</v>
      </c>
      <c r="B87" s="21"/>
      <c r="C87" s="74" t="s">
        <v>68</v>
      </c>
      <c r="D87" s="74"/>
    </row>
    <row r="88" spans="1:4" x14ac:dyDescent="0.25">
      <c r="A88" s="22" t="s">
        <v>65</v>
      </c>
      <c r="C88" s="75" t="s">
        <v>69</v>
      </c>
      <c r="D88" s="75"/>
    </row>
    <row r="91" spans="1:4" ht="13.8" x14ac:dyDescent="0.25">
      <c r="C91" s="74" t="s">
        <v>63</v>
      </c>
      <c r="D91" s="74"/>
    </row>
    <row r="92" spans="1:4" x14ac:dyDescent="0.25">
      <c r="C92" s="75" t="s">
        <v>67</v>
      </c>
      <c r="D92" s="75"/>
    </row>
  </sheetData>
  <sheetProtection algorithmName="SHA-512" hashValue="T65HQ7Sn67dOhwfuCarp4Cz7XbIIiQ8JA4AHtI5URc9jpxiLBFR2MV+JeN84eD99C5IJrVeZbu2hxbDWXyDW+g==" saltValue="2lRYIt+WI66gXOtBBHDGNQ==" spinCount="100000" sheet="1" formatCells="0" formatColumns="0" formatRows="0"/>
  <mergeCells count="15">
    <mergeCell ref="B11:D11"/>
    <mergeCell ref="A5:D5"/>
    <mergeCell ref="A6:D6"/>
    <mergeCell ref="A7:D7"/>
    <mergeCell ref="A8:D8"/>
    <mergeCell ref="A10:D10"/>
    <mergeCell ref="C88:D88"/>
    <mergeCell ref="C91:D91"/>
    <mergeCell ref="C92:D92"/>
    <mergeCell ref="B12:D12"/>
    <mergeCell ref="B13:D13"/>
    <mergeCell ref="A79:D79"/>
    <mergeCell ref="A81:D81"/>
    <mergeCell ref="A83:D83"/>
    <mergeCell ref="C87:D87"/>
  </mergeCells>
  <conditionalFormatting sqref="B16:C16">
    <cfRule type="expression" dxfId="44" priority="45">
      <formula>$AE$16&gt;1</formula>
    </cfRule>
  </conditionalFormatting>
  <conditionalFormatting sqref="B17:C17">
    <cfRule type="expression" dxfId="43" priority="44">
      <formula>$AE$17&gt;1</formula>
    </cfRule>
  </conditionalFormatting>
  <conditionalFormatting sqref="B18:C18">
    <cfRule type="expression" dxfId="42" priority="7">
      <formula>$AE$18&gt;1</formula>
    </cfRule>
  </conditionalFormatting>
  <conditionalFormatting sqref="B19:C19">
    <cfRule type="expression" dxfId="41" priority="42">
      <formula>$AE$19&gt;1</formula>
    </cfRule>
  </conditionalFormatting>
  <conditionalFormatting sqref="B20:C20">
    <cfRule type="expression" dxfId="40" priority="43">
      <formula>$AE$20&gt;1</formula>
    </cfRule>
  </conditionalFormatting>
  <conditionalFormatting sqref="B23:C23">
    <cfRule type="expression" dxfId="39" priority="41">
      <formula>$AE$23&gt;1</formula>
    </cfRule>
  </conditionalFormatting>
  <conditionalFormatting sqref="B24:C24">
    <cfRule type="expression" dxfId="38" priority="40">
      <formula>$AE$24&gt;1</formula>
    </cfRule>
  </conditionalFormatting>
  <conditionalFormatting sqref="B25:C25">
    <cfRule type="expression" dxfId="37" priority="6">
      <formula>$AE$25&gt;1</formula>
    </cfRule>
  </conditionalFormatting>
  <conditionalFormatting sqref="B26:C26">
    <cfRule type="expression" dxfId="36" priority="39">
      <formula>$AE$26&gt;1</formula>
    </cfRule>
  </conditionalFormatting>
  <conditionalFormatting sqref="B27:C27">
    <cfRule type="expression" dxfId="35" priority="38">
      <formula>$AE$27&gt;1</formula>
    </cfRule>
  </conditionalFormatting>
  <conditionalFormatting sqref="B30:C30">
    <cfRule type="expression" dxfId="34" priority="37">
      <formula>$AE$30&gt;1</formula>
    </cfRule>
  </conditionalFormatting>
  <conditionalFormatting sqref="B31:C31">
    <cfRule type="expression" dxfId="33" priority="36">
      <formula>$AE$31&gt;1</formula>
    </cfRule>
  </conditionalFormatting>
  <conditionalFormatting sqref="B32:C32">
    <cfRule type="expression" dxfId="32" priority="35">
      <formula>$AE$32&gt;1</formula>
    </cfRule>
  </conditionalFormatting>
  <conditionalFormatting sqref="B33:C33">
    <cfRule type="expression" dxfId="31" priority="5">
      <formula>$AE$33&gt;1</formula>
    </cfRule>
  </conditionalFormatting>
  <conditionalFormatting sqref="B34:C34">
    <cfRule type="expression" dxfId="30" priority="34">
      <formula>$AE$34&gt;1</formula>
    </cfRule>
  </conditionalFormatting>
  <conditionalFormatting sqref="B37:C37">
    <cfRule type="expression" dxfId="29" priority="33">
      <formula>$AE$37&gt;1</formula>
    </cfRule>
  </conditionalFormatting>
  <conditionalFormatting sqref="B38:C38">
    <cfRule type="expression" dxfId="28" priority="32">
      <formula>$AE$38&gt;1</formula>
    </cfRule>
  </conditionalFormatting>
  <conditionalFormatting sqref="B39:C39">
    <cfRule type="expression" dxfId="27" priority="4">
      <formula>$AE$39&gt;1</formula>
    </cfRule>
  </conditionalFormatting>
  <conditionalFormatting sqref="B40:C40">
    <cfRule type="expression" dxfId="26" priority="31">
      <formula>$AE$40&gt;1</formula>
    </cfRule>
  </conditionalFormatting>
  <conditionalFormatting sqref="B41:C41">
    <cfRule type="expression" dxfId="25" priority="30">
      <formula>$AE$41&gt;1</formula>
    </cfRule>
  </conditionalFormatting>
  <conditionalFormatting sqref="B44:C44">
    <cfRule type="expression" dxfId="24" priority="29">
      <formula>$AE$44&gt;1</formula>
    </cfRule>
  </conditionalFormatting>
  <conditionalFormatting sqref="B45:C45">
    <cfRule type="expression" dxfId="23" priority="28">
      <formula>$AE$45&gt;1</formula>
    </cfRule>
  </conditionalFormatting>
  <conditionalFormatting sqref="B46:C46">
    <cfRule type="expression" dxfId="22" priority="27">
      <formula>$AE$46&gt;1</formula>
    </cfRule>
  </conditionalFormatting>
  <conditionalFormatting sqref="B47:C47">
    <cfRule type="expression" dxfId="21" priority="3">
      <formula>$AE$47&gt;1</formula>
    </cfRule>
  </conditionalFormatting>
  <conditionalFormatting sqref="B48:C48">
    <cfRule type="expression" dxfId="20" priority="26">
      <formula>$AE$48&gt;1</formula>
    </cfRule>
  </conditionalFormatting>
  <conditionalFormatting sqref="B51:C51">
    <cfRule type="expression" dxfId="19" priority="25">
      <formula>$AE$51&gt;1</formula>
    </cfRule>
  </conditionalFormatting>
  <conditionalFormatting sqref="B52:C52">
    <cfRule type="expression" dxfId="18" priority="24">
      <formula>$AE$52&gt;1</formula>
    </cfRule>
  </conditionalFormatting>
  <conditionalFormatting sqref="B53:C53">
    <cfRule type="expression" dxfId="17" priority="23">
      <formula>$AE$53&gt;1</formula>
    </cfRule>
  </conditionalFormatting>
  <conditionalFormatting sqref="B54:C54">
    <cfRule type="expression" dxfId="16" priority="22">
      <formula>$AE$54&gt;1</formula>
    </cfRule>
  </conditionalFormatting>
  <conditionalFormatting sqref="B55:C55">
    <cfRule type="expression" dxfId="15" priority="21">
      <formula>$AE$55&gt;1</formula>
    </cfRule>
  </conditionalFormatting>
  <conditionalFormatting sqref="B58:C58">
    <cfRule type="expression" dxfId="14" priority="11">
      <formula>$AE$58&gt;1</formula>
    </cfRule>
  </conditionalFormatting>
  <conditionalFormatting sqref="B59:C59">
    <cfRule type="expression" dxfId="13" priority="10">
      <formula>$AE$59&gt;1</formula>
    </cfRule>
  </conditionalFormatting>
  <conditionalFormatting sqref="B60:C60">
    <cfRule type="expression" dxfId="12" priority="9">
      <formula>$AE$60&gt;1</formula>
    </cfRule>
  </conditionalFormatting>
  <conditionalFormatting sqref="B61:C61">
    <cfRule type="expression" dxfId="11" priority="2">
      <formula>$AE$61&gt;1</formula>
    </cfRule>
  </conditionalFormatting>
  <conditionalFormatting sqref="B62:C62">
    <cfRule type="expression" dxfId="10" priority="8">
      <formula>$AE$62&gt;1</formula>
    </cfRule>
  </conditionalFormatting>
  <conditionalFormatting sqref="B65:C65">
    <cfRule type="expression" dxfId="9" priority="20">
      <formula>$AE$65&gt;1</formula>
    </cfRule>
  </conditionalFormatting>
  <conditionalFormatting sqref="B66:C66">
    <cfRule type="expression" dxfId="8" priority="19">
      <formula>$AE$66&gt;1</formula>
    </cfRule>
  </conditionalFormatting>
  <conditionalFormatting sqref="B67:C67">
    <cfRule type="expression" dxfId="7" priority="18">
      <formula>$AE$67&gt;1</formula>
    </cfRule>
  </conditionalFormatting>
  <conditionalFormatting sqref="B68:C68">
    <cfRule type="expression" dxfId="6" priority="17">
      <formula>$AE$68&gt;1</formula>
    </cfRule>
  </conditionalFormatting>
  <conditionalFormatting sqref="B69:C69">
    <cfRule type="expression" dxfId="5" priority="16">
      <formula>$AE$69&gt;1</formula>
    </cfRule>
  </conditionalFormatting>
  <conditionalFormatting sqref="B72:C72">
    <cfRule type="expression" dxfId="4" priority="15">
      <formula>$AE$72&gt;1</formula>
    </cfRule>
  </conditionalFormatting>
  <conditionalFormatting sqref="B73:C73">
    <cfRule type="expression" dxfId="3" priority="14">
      <formula>$AE$73&gt;1</formula>
    </cfRule>
  </conditionalFormatting>
  <conditionalFormatting sqref="B74:C74">
    <cfRule type="expression" dxfId="2" priority="13">
      <formula>$AE$74&gt;1</formula>
    </cfRule>
  </conditionalFormatting>
  <conditionalFormatting sqref="B75:C75">
    <cfRule type="expression" dxfId="1" priority="1">
      <formula>$AE$75&gt;1</formula>
    </cfRule>
  </conditionalFormatting>
  <conditionalFormatting sqref="B76:C76">
    <cfRule type="expression" dxfId="0" priority="12">
      <formula>$AE$76&gt;1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68580</xdr:rowOff>
                  </from>
                  <to>
                    <xdr:col>1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68580</xdr:rowOff>
                  </from>
                  <to>
                    <xdr:col>1</xdr:col>
                    <xdr:colOff>320040</xdr:colOff>
                    <xdr:row>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68580</xdr:rowOff>
                  </from>
                  <to>
                    <xdr:col>1</xdr:col>
                    <xdr:colOff>297180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68580</xdr:rowOff>
                  </from>
                  <to>
                    <xdr:col>1</xdr:col>
                    <xdr:colOff>297180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68580</xdr:rowOff>
                  </from>
                  <to>
                    <xdr:col>1</xdr:col>
                    <xdr:colOff>281940</xdr:colOff>
                    <xdr:row>23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68580</xdr:rowOff>
                  </from>
                  <to>
                    <xdr:col>1</xdr:col>
                    <xdr:colOff>327660</xdr:colOff>
                    <xdr:row>24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68580</xdr:rowOff>
                  </from>
                  <to>
                    <xdr:col>1</xdr:col>
                    <xdr:colOff>297180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68580</xdr:rowOff>
                  </from>
                  <to>
                    <xdr:col>1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68580</xdr:rowOff>
                  </from>
                  <to>
                    <xdr:col>1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68580</xdr:rowOff>
                  </from>
                  <to>
                    <xdr:col>1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68580</xdr:rowOff>
                  </from>
                  <to>
                    <xdr:col>1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68580</xdr:rowOff>
                  </from>
                  <to>
                    <xdr:col>1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68580</xdr:rowOff>
                  </from>
                  <to>
                    <xdr:col>1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68580</xdr:rowOff>
                  </from>
                  <to>
                    <xdr:col>1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68580</xdr:rowOff>
                  </from>
                  <to>
                    <xdr:col>1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68580</xdr:rowOff>
                  </from>
                  <to>
                    <xdr:col>1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68580</xdr:rowOff>
                  </from>
                  <to>
                    <xdr:col>1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68580</xdr:rowOff>
                  </from>
                  <to>
                    <xdr:col>1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68580</xdr:rowOff>
                  </from>
                  <to>
                    <xdr:col>1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68580</xdr:rowOff>
                  </from>
                  <to>
                    <xdr:col>1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68580</xdr:rowOff>
                  </from>
                  <to>
                    <xdr:col>1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68580</xdr:rowOff>
                  </from>
                  <to>
                    <xdr:col>1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68580</xdr:rowOff>
                  </from>
                  <to>
                    <xdr:col>1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68580</xdr:rowOff>
                  </from>
                  <to>
                    <xdr:col>1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68580</xdr:rowOff>
                  </from>
                  <to>
                    <xdr:col>1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68580</xdr:rowOff>
                  </from>
                  <to>
                    <xdr:col>1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68580</xdr:rowOff>
                  </from>
                  <to>
                    <xdr:col>1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68580</xdr:rowOff>
                  </from>
                  <to>
                    <xdr:col>1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68580</xdr:rowOff>
                  </from>
                  <to>
                    <xdr:col>1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68580</xdr:rowOff>
                  </from>
                  <to>
                    <xdr:col>1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68580</xdr:rowOff>
                  </from>
                  <to>
                    <xdr:col>1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68580</xdr:rowOff>
                  </from>
                  <to>
                    <xdr:col>1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68580</xdr:rowOff>
                  </from>
                  <to>
                    <xdr:col>1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7" name="Check Box 34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68580</xdr:rowOff>
                  </from>
                  <to>
                    <xdr:col>1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8" name="Check Box 35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68580</xdr:rowOff>
                  </from>
                  <to>
                    <xdr:col>1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9" name="Check Box 36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68580</xdr:rowOff>
                  </from>
                  <to>
                    <xdr:col>1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40" name="Check Box 37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68580</xdr:rowOff>
                  </from>
                  <to>
                    <xdr:col>1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68580</xdr:rowOff>
                  </from>
                  <to>
                    <xdr:col>2</xdr:col>
                    <xdr:colOff>327660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68580</xdr:rowOff>
                  </from>
                  <to>
                    <xdr:col>2</xdr:col>
                    <xdr:colOff>327660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68580</xdr:rowOff>
                  </from>
                  <to>
                    <xdr:col>2</xdr:col>
                    <xdr:colOff>327660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68580</xdr:rowOff>
                  </from>
                  <to>
                    <xdr:col>2</xdr:col>
                    <xdr:colOff>327660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68580</xdr:rowOff>
                  </from>
                  <to>
                    <xdr:col>2</xdr:col>
                    <xdr:colOff>327660</xdr:colOff>
                    <xdr:row>23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68580</xdr:rowOff>
                  </from>
                  <to>
                    <xdr:col>2</xdr:col>
                    <xdr:colOff>327660</xdr:colOff>
                    <xdr:row>24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8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68580</xdr:rowOff>
                  </from>
                  <to>
                    <xdr:col>2</xdr:col>
                    <xdr:colOff>327660</xdr:colOff>
                    <xdr:row>26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68580</xdr:rowOff>
                  </from>
                  <to>
                    <xdr:col>2</xdr:col>
                    <xdr:colOff>327660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68580</xdr:rowOff>
                  </from>
                  <to>
                    <xdr:col>2</xdr:col>
                    <xdr:colOff>327660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68580</xdr:rowOff>
                  </from>
                  <to>
                    <xdr:col>2</xdr:col>
                    <xdr:colOff>327660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2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68580</xdr:rowOff>
                  </from>
                  <to>
                    <xdr:col>2</xdr:col>
                    <xdr:colOff>327660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68580</xdr:rowOff>
                  </from>
                  <to>
                    <xdr:col>2</xdr:col>
                    <xdr:colOff>327660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4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68580</xdr:rowOff>
                  </from>
                  <to>
                    <xdr:col>2</xdr:col>
                    <xdr:colOff>327660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68580</xdr:rowOff>
                  </from>
                  <to>
                    <xdr:col>2</xdr:col>
                    <xdr:colOff>327660</xdr:colOff>
                    <xdr:row>38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68580</xdr:rowOff>
                  </from>
                  <to>
                    <xdr:col>2</xdr:col>
                    <xdr:colOff>327660</xdr:colOff>
                    <xdr:row>40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7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68580</xdr:rowOff>
                  </from>
                  <to>
                    <xdr:col>2</xdr:col>
                    <xdr:colOff>327660</xdr:colOff>
                    <xdr:row>43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8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68580</xdr:rowOff>
                  </from>
                  <to>
                    <xdr:col>2</xdr:col>
                    <xdr:colOff>327660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9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68580</xdr:rowOff>
                  </from>
                  <to>
                    <xdr:col>2</xdr:col>
                    <xdr:colOff>327660</xdr:colOff>
                    <xdr:row>45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0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68580</xdr:rowOff>
                  </from>
                  <to>
                    <xdr:col>2</xdr:col>
                    <xdr:colOff>327660</xdr:colOff>
                    <xdr:row>47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1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68580</xdr:rowOff>
                  </from>
                  <to>
                    <xdr:col>2</xdr:col>
                    <xdr:colOff>327660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2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68580</xdr:rowOff>
                  </from>
                  <to>
                    <xdr:col>2</xdr:col>
                    <xdr:colOff>327660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3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68580</xdr:rowOff>
                  </from>
                  <to>
                    <xdr:col>2</xdr:col>
                    <xdr:colOff>327660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4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68580</xdr:rowOff>
                  </from>
                  <to>
                    <xdr:col>2</xdr:col>
                    <xdr:colOff>327660</xdr:colOff>
                    <xdr:row>53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5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68580</xdr:rowOff>
                  </from>
                  <to>
                    <xdr:col>2</xdr:col>
                    <xdr:colOff>327660</xdr:colOff>
                    <xdr:row>54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6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68580</xdr:rowOff>
                  </from>
                  <to>
                    <xdr:col>2</xdr:col>
                    <xdr:colOff>327660</xdr:colOff>
                    <xdr:row>57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7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68580</xdr:rowOff>
                  </from>
                  <to>
                    <xdr:col>2</xdr:col>
                    <xdr:colOff>327660</xdr:colOff>
                    <xdr:row>58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8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68580</xdr:rowOff>
                  </from>
                  <to>
                    <xdr:col>2</xdr:col>
                    <xdr:colOff>327660</xdr:colOff>
                    <xdr:row>59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9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68580</xdr:rowOff>
                  </from>
                  <to>
                    <xdr:col>2</xdr:col>
                    <xdr:colOff>327660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0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68580</xdr:rowOff>
                  </from>
                  <to>
                    <xdr:col>2</xdr:col>
                    <xdr:colOff>327660</xdr:colOff>
                    <xdr:row>64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1" r:id="rId70" name="Check Box 67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68580</xdr:rowOff>
                  </from>
                  <to>
                    <xdr:col>2</xdr:col>
                    <xdr:colOff>327660</xdr:colOff>
                    <xdr:row>65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2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68580</xdr:rowOff>
                  </from>
                  <to>
                    <xdr:col>2</xdr:col>
                    <xdr:colOff>327660</xdr:colOff>
                    <xdr:row>66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3" r:id="rId72" name="Check Box 69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68580</xdr:rowOff>
                  </from>
                  <to>
                    <xdr:col>2</xdr:col>
                    <xdr:colOff>327660</xdr:colOff>
                    <xdr:row>67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4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68580</xdr:rowOff>
                  </from>
                  <to>
                    <xdr:col>2</xdr:col>
                    <xdr:colOff>327660</xdr:colOff>
                    <xdr:row>68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5" r:id="rId74" name="Check Box 71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68580</xdr:rowOff>
                  </from>
                  <to>
                    <xdr:col>2</xdr:col>
                    <xdr:colOff>327660</xdr:colOff>
                    <xdr:row>71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6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68580</xdr:rowOff>
                  </from>
                  <to>
                    <xdr:col>2</xdr:col>
                    <xdr:colOff>327660</xdr:colOff>
                    <xdr:row>72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7" r:id="rId76" name="Check Box 73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68580</xdr:rowOff>
                  </from>
                  <to>
                    <xdr:col>2</xdr:col>
                    <xdr:colOff>327660</xdr:colOff>
                    <xdr:row>73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8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68580</xdr:rowOff>
                  </from>
                  <to>
                    <xdr:col>2</xdr:col>
                    <xdr:colOff>327660</xdr:colOff>
                    <xdr:row>75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68580</xdr:rowOff>
                  </from>
                  <to>
                    <xdr:col>1</xdr:col>
                    <xdr:colOff>304800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0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68580</xdr:rowOff>
                  </from>
                  <to>
                    <xdr:col>2</xdr:col>
                    <xdr:colOff>327660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1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68580</xdr:rowOff>
                  </from>
                  <to>
                    <xdr:col>1</xdr:col>
                    <xdr:colOff>320040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2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68580</xdr:rowOff>
                  </from>
                  <to>
                    <xdr:col>2</xdr:col>
                    <xdr:colOff>327660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3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68580</xdr:rowOff>
                  </from>
                  <to>
                    <xdr:col>1</xdr:col>
                    <xdr:colOff>327660</xdr:colOff>
                    <xdr:row>25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4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68580</xdr:rowOff>
                  </from>
                  <to>
                    <xdr:col>2</xdr:col>
                    <xdr:colOff>327660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5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68580</xdr:rowOff>
                  </from>
                  <to>
                    <xdr:col>1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6" r:id="rId85" name="Check Box 82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68580</xdr:rowOff>
                  </from>
                  <to>
                    <xdr:col>2</xdr:col>
                    <xdr:colOff>327660</xdr:colOff>
                    <xdr:row>32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7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68580</xdr:rowOff>
                  </from>
                  <to>
                    <xdr:col>1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8" r:id="rId87" name="Check Box 84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68580</xdr:rowOff>
                  </from>
                  <to>
                    <xdr:col>2</xdr:col>
                    <xdr:colOff>327660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9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68580</xdr:rowOff>
                  </from>
                  <to>
                    <xdr:col>1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0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68580</xdr:rowOff>
                  </from>
                  <to>
                    <xdr:col>2</xdr:col>
                    <xdr:colOff>327660</xdr:colOff>
                    <xdr:row>46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1" r:id="rId90" name="Check Box 87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68580</xdr:rowOff>
                  </from>
                  <to>
                    <xdr:col>1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2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68580</xdr:rowOff>
                  </from>
                  <to>
                    <xdr:col>2</xdr:col>
                    <xdr:colOff>327660</xdr:colOff>
                    <xdr:row>60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3" r:id="rId92" name="Check Box 89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68580</xdr:rowOff>
                  </from>
                  <to>
                    <xdr:col>1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4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68580</xdr:rowOff>
                  </from>
                  <to>
                    <xdr:col>2</xdr:col>
                    <xdr:colOff>327660</xdr:colOff>
                    <xdr:row>74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DD90-0A03-49CB-9DB2-9AEA7A58833F}">
  <dimension ref="A5:CJ29"/>
  <sheetViews>
    <sheetView showGridLines="0" topLeftCell="A4" workbookViewId="0">
      <selection activeCell="D26" sqref="D26"/>
    </sheetView>
  </sheetViews>
  <sheetFormatPr defaultColWidth="9.33203125" defaultRowHeight="13.2" x14ac:dyDescent="0.25"/>
  <cols>
    <col min="1" max="1" width="42" customWidth="1"/>
    <col min="2" max="3" width="6.6640625" customWidth="1"/>
    <col min="4" max="4" width="6.6640625" style="4" customWidth="1"/>
    <col min="5" max="5" width="6.6640625" customWidth="1"/>
    <col min="6" max="6" width="6.33203125" customWidth="1"/>
    <col min="7" max="7" width="6" customWidth="1"/>
    <col min="8" max="8" width="10" customWidth="1"/>
    <col min="9" max="10" width="6.6640625" customWidth="1"/>
    <col min="11" max="11" width="6.6640625" style="4" customWidth="1"/>
    <col min="12" max="12" width="6.6640625" customWidth="1"/>
    <col min="13" max="13" width="6.21875" customWidth="1"/>
    <col min="14" max="14" width="6" customWidth="1"/>
    <col min="15" max="15" width="10" customWidth="1"/>
    <col min="16" max="17" width="6.6640625" customWidth="1"/>
    <col min="18" max="18" width="6.6640625" style="4" customWidth="1"/>
    <col min="19" max="19" width="6.6640625" customWidth="1"/>
    <col min="20" max="20" width="6.44140625" customWidth="1"/>
    <col min="21" max="21" width="6" customWidth="1"/>
    <col min="22" max="22" width="10" customWidth="1"/>
    <col min="23" max="24" width="6.6640625" customWidth="1"/>
    <col min="25" max="25" width="6.6640625" style="4" customWidth="1"/>
    <col min="26" max="26" width="6.6640625" customWidth="1"/>
    <col min="27" max="27" width="6.44140625" customWidth="1"/>
    <col min="28" max="28" width="6" customWidth="1"/>
    <col min="29" max="29" width="10" customWidth="1"/>
    <col min="30" max="31" width="6.6640625" customWidth="1"/>
    <col min="32" max="32" width="6.6640625" style="4" customWidth="1"/>
    <col min="33" max="33" width="6.6640625" customWidth="1"/>
    <col min="34" max="34" width="6.44140625" customWidth="1"/>
    <col min="35" max="35" width="6" customWidth="1"/>
    <col min="36" max="36" width="10" customWidth="1"/>
    <col min="37" max="38" width="6.6640625" customWidth="1"/>
    <col min="39" max="39" width="6.6640625" style="4" customWidth="1"/>
    <col min="40" max="40" width="6.6640625" customWidth="1"/>
    <col min="41" max="41" width="6.44140625" customWidth="1"/>
    <col min="42" max="42" width="6" customWidth="1"/>
    <col min="43" max="43" width="10" customWidth="1"/>
    <col min="44" max="45" width="6.6640625" customWidth="1"/>
    <col min="46" max="46" width="6.6640625" style="4" customWidth="1"/>
    <col min="47" max="47" width="6.6640625" customWidth="1"/>
    <col min="48" max="48" width="6.44140625" customWidth="1"/>
    <col min="49" max="49" width="6" customWidth="1"/>
    <col min="50" max="50" width="10" customWidth="1"/>
    <col min="51" max="52" width="6.6640625" customWidth="1"/>
    <col min="53" max="53" width="6.6640625" style="4" customWidth="1"/>
    <col min="54" max="54" width="6.6640625" customWidth="1"/>
    <col min="55" max="55" width="6.44140625" customWidth="1"/>
    <col min="56" max="56" width="6" customWidth="1"/>
    <col min="57" max="57" width="10" customWidth="1"/>
    <col min="58" max="59" width="6.6640625" customWidth="1"/>
    <col min="60" max="60" width="6.6640625" style="4" customWidth="1"/>
    <col min="61" max="61" width="6.6640625" customWidth="1"/>
    <col min="62" max="62" width="6.44140625" customWidth="1"/>
    <col min="63" max="63" width="6" customWidth="1"/>
    <col min="64" max="64" width="10" customWidth="1"/>
    <col min="65" max="69" width="4.21875" customWidth="1"/>
    <col min="70" max="71" width="4.21875" style="34" customWidth="1"/>
    <col min="72" max="73" width="4.21875" style="35" customWidth="1"/>
    <col min="74" max="74" width="3.33203125" style="35" customWidth="1"/>
    <col min="75" max="76" width="9.33203125" style="35"/>
    <col min="77" max="77" width="9.33203125" style="36"/>
  </cols>
  <sheetData>
    <row r="5" spans="1:88" ht="13.05" customHeight="1" x14ac:dyDescent="0.25">
      <c r="A5" s="79" t="s">
        <v>59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F5"/>
      <c r="AM5"/>
      <c r="AT5"/>
      <c r="BA5"/>
      <c r="BH5"/>
    </row>
    <row r="6" spans="1:88" ht="13.05" customHeight="1" x14ac:dyDescent="0.25">
      <c r="A6" s="80" t="s">
        <v>60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F6"/>
      <c r="AM6"/>
      <c r="AT6"/>
      <c r="BA6"/>
      <c r="BH6"/>
    </row>
    <row r="7" spans="1:88" x14ac:dyDescent="0.25">
      <c r="A7" s="78"/>
      <c r="B7" s="78"/>
      <c r="C7" s="78"/>
      <c r="D7" s="78"/>
      <c r="K7"/>
      <c r="R7"/>
      <c r="Y7"/>
      <c r="AF7"/>
      <c r="AM7"/>
      <c r="AT7"/>
      <c r="BA7"/>
      <c r="BH7"/>
    </row>
    <row r="8" spans="1:88" ht="13.05" customHeight="1" x14ac:dyDescent="0.25">
      <c r="A8" s="81" t="s">
        <v>61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F8"/>
      <c r="AM8"/>
      <c r="AT8"/>
      <c r="BA8"/>
      <c r="BH8"/>
    </row>
    <row r="9" spans="1:88" ht="7.05" customHeight="1" x14ac:dyDescent="0.25">
      <c r="A9" s="18"/>
      <c r="B9" s="18"/>
      <c r="C9" s="18"/>
      <c r="D9" s="18"/>
      <c r="I9" s="18"/>
      <c r="J9" s="18"/>
      <c r="K9" s="18"/>
      <c r="P9" s="18"/>
      <c r="Q9" s="18"/>
      <c r="R9" s="18"/>
      <c r="W9" s="18"/>
      <c r="X9" s="18"/>
      <c r="Y9" s="18"/>
      <c r="AD9" s="18"/>
      <c r="AE9" s="18"/>
      <c r="AF9" s="18"/>
      <c r="AK9" s="18"/>
      <c r="AL9" s="18"/>
      <c r="AM9" s="18"/>
      <c r="AR9" s="18"/>
      <c r="AS9" s="18"/>
      <c r="AT9" s="18"/>
      <c r="AY9" s="18"/>
      <c r="AZ9" s="18"/>
      <c r="BA9" s="18"/>
      <c r="BF9" s="18"/>
      <c r="BG9" s="18"/>
      <c r="BH9" s="18"/>
    </row>
    <row r="10" spans="1:88" ht="13.8" x14ac:dyDescent="0.25">
      <c r="A10" s="82" t="s">
        <v>45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F10"/>
      <c r="AM10"/>
      <c r="AT10"/>
      <c r="BA10"/>
      <c r="BH10"/>
    </row>
    <row r="11" spans="1:88" ht="13.8" thickBot="1" x14ac:dyDescent="0.3">
      <c r="A11" s="33"/>
      <c r="B11" s="33"/>
      <c r="C11" s="33"/>
      <c r="D11" s="33"/>
      <c r="I11" s="33"/>
      <c r="J11" s="33"/>
      <c r="K11" s="33"/>
      <c r="P11" s="33"/>
      <c r="Q11" s="33"/>
      <c r="R11" s="33"/>
      <c r="W11" s="33"/>
      <c r="X11" s="33"/>
      <c r="Y11" s="33"/>
      <c r="AD11" s="33"/>
      <c r="AE11" s="33"/>
      <c r="AF11" s="33"/>
      <c r="AK11" s="33"/>
      <c r="AL11" s="33"/>
      <c r="AM11" s="33"/>
      <c r="AR11" s="33"/>
      <c r="AS11" s="33"/>
      <c r="AT11" s="33"/>
      <c r="AY11" s="33"/>
      <c r="AZ11" s="33"/>
      <c r="BA11" s="33"/>
      <c r="BF11" s="33"/>
      <c r="BG11" s="33"/>
      <c r="BH11" s="33"/>
    </row>
    <row r="12" spans="1:88" s="43" customFormat="1" ht="27" customHeight="1" x14ac:dyDescent="0.25">
      <c r="A12" s="76" t="s">
        <v>70</v>
      </c>
      <c r="B12" s="70" t="str">
        <f>IF('MAGUIKAY ES'!$A$14="","",'MAGUIKAY ES'!$A$14)</f>
        <v>A. CURRICULUM–INSTRUCTION–ASSESSMENT ALIGNMENT</v>
      </c>
      <c r="C12" s="71"/>
      <c r="D12" s="71"/>
      <c r="E12" s="71"/>
      <c r="F12" s="41"/>
      <c r="G12" s="72" t="s">
        <v>71</v>
      </c>
      <c r="H12" s="68" t="s">
        <v>75</v>
      </c>
      <c r="I12" s="70" t="str">
        <f>IF('MAGUIKAY ES'!$A$21="","",'MAGUIKAY ES'!$A$21)</f>
        <v>B. ASSESSMENT QUALITY (HOTS-BASED)</v>
      </c>
      <c r="J12" s="71"/>
      <c r="K12" s="71"/>
      <c r="L12" s="71"/>
      <c r="M12" s="42"/>
      <c r="N12" s="72" t="s">
        <v>71</v>
      </c>
      <c r="O12" s="68" t="s">
        <v>75</v>
      </c>
      <c r="P12" s="70" t="str">
        <f>IF('MAGUIKAY ES'!$A$28="","",'MAGUIKAY ES'!$A$28)</f>
        <v>C. READING ACROSS LEARNING AREAS</v>
      </c>
      <c r="Q12" s="71"/>
      <c r="R12" s="71"/>
      <c r="S12" s="71"/>
      <c r="T12" s="42"/>
      <c r="U12" s="72" t="s">
        <v>71</v>
      </c>
      <c r="V12" s="68" t="s">
        <v>75</v>
      </c>
      <c r="W12" s="70" t="str">
        <f>IF('MAGUIKAY ES'!$A$35="","",'MAGUIKAY ES'!$A$35)</f>
        <v>D. TARGETED REMEDIATION</v>
      </c>
      <c r="X12" s="71"/>
      <c r="Y12" s="71"/>
      <c r="Z12" s="71"/>
      <c r="AA12" s="42"/>
      <c r="AB12" s="72" t="s">
        <v>71</v>
      </c>
      <c r="AC12" s="68" t="s">
        <v>75</v>
      </c>
      <c r="AD12" s="70" t="str">
        <f>IF('MAGUIKAY ES'!$A$42="","",'MAGUIKAY ES'!$A$42)</f>
        <v>E. DATA UTILIZATION (LAC &amp; INSTRUCTIONAL ADJUSTMENT)</v>
      </c>
      <c r="AE12" s="71"/>
      <c r="AF12" s="71"/>
      <c r="AG12" s="71"/>
      <c r="AH12" s="42"/>
      <c r="AI12" s="72" t="s">
        <v>71</v>
      </c>
      <c r="AJ12" s="68" t="s">
        <v>75</v>
      </c>
      <c r="AK12" s="70" t="str">
        <f>IF('MAGUIKAY ES'!$A$49="","",'MAGUIKAY ES'!$A$49)</f>
        <v>F. LEARNING RESOURCE (LR) QUALITY &amp; UTILIZATION</v>
      </c>
      <c r="AL12" s="71"/>
      <c r="AM12" s="71"/>
      <c r="AN12" s="71"/>
      <c r="AO12" s="42"/>
      <c r="AP12" s="72" t="s">
        <v>71</v>
      </c>
      <c r="AQ12" s="68" t="s">
        <v>75</v>
      </c>
      <c r="AR12" s="70" t="str">
        <f>IF('MAGUIKAY ES'!$A$56="","",'MAGUIKAY ES'!$A$56)</f>
        <v>G. TECHNICAL ASSISTANCE (TA) IMPLEMENTATION</v>
      </c>
      <c r="AS12" s="71"/>
      <c r="AT12" s="71"/>
      <c r="AU12" s="71"/>
      <c r="AV12" s="42"/>
      <c r="AW12" s="72" t="s">
        <v>71</v>
      </c>
      <c r="AX12" s="68" t="s">
        <v>75</v>
      </c>
      <c r="AY12" s="70" t="str">
        <f>IF('MAGUIKAY ES'!$A$63="","",'MAGUIKAY ES'!$A$63)</f>
        <v>H. INSTRUCTIONAL LEADERSHIP &amp; MONITORING</v>
      </c>
      <c r="AZ12" s="71"/>
      <c r="BA12" s="71"/>
      <c r="BB12" s="71"/>
      <c r="BC12" s="42"/>
      <c r="BD12" s="72" t="s">
        <v>71</v>
      </c>
      <c r="BE12" s="68" t="s">
        <v>75</v>
      </c>
      <c r="BF12" s="70" t="str">
        <f>IF('MAGUIKAY ES'!$A$70="","",'MAGUIKAY ES'!$A$70)</f>
        <v>I. OVERALL DATA-TO-ACTION CYCLE</v>
      </c>
      <c r="BG12" s="71"/>
      <c r="BH12" s="71"/>
      <c r="BI12" s="71"/>
      <c r="BJ12" s="42"/>
      <c r="BK12" s="72" t="s">
        <v>71</v>
      </c>
      <c r="BL12" s="68" t="s">
        <v>75</v>
      </c>
      <c r="BR12" s="35"/>
      <c r="BS12" s="35"/>
      <c r="BT12" s="35"/>
      <c r="BU12" s="35"/>
      <c r="BV12" s="35"/>
      <c r="BW12" s="35"/>
      <c r="BX12" s="35"/>
      <c r="BY12" s="35"/>
    </row>
    <row r="13" spans="1:88" s="43" customFormat="1" ht="27" customHeight="1" thickBot="1" x14ac:dyDescent="0.3">
      <c r="A13" s="77"/>
      <c r="B13" s="44" t="str">
        <f>IF('MAGUIKAY ES'!$A$16&lt;&gt;"", "A.1.1", "")</f>
        <v>A.1.1</v>
      </c>
      <c r="C13" s="45" t="str">
        <f>IF('MAGUIKAY ES'!$A$17&lt;&gt;"", "A.1.2", "")</f>
        <v>A.1.2</v>
      </c>
      <c r="D13" s="45" t="str">
        <f>IF('MAGUIKAY ES'!$A$18&lt;&gt;"", "A.1.3", "")</f>
        <v>A.1.3</v>
      </c>
      <c r="E13" s="45" t="str">
        <f>IF('MAGUIKAY ES'!$A$19&lt;&gt;"", "A.1.4", "")</f>
        <v>A.1.4</v>
      </c>
      <c r="F13" s="46"/>
      <c r="G13" s="73"/>
      <c r="H13" s="69"/>
      <c r="I13" s="44" t="str">
        <f>IF('MAGUIKAY ES'!$A$23&lt;&gt;"", "B.1.1", "")</f>
        <v>B.1.1</v>
      </c>
      <c r="J13" s="45" t="str">
        <f>IF('MAGUIKAY ES'!$A$24&lt;&gt;"", "B.1.2", "")</f>
        <v>B.1.2</v>
      </c>
      <c r="K13" s="45" t="str">
        <f>IF('MAGUIKAY ES'!$A$25&lt;&gt;"", "B.1.3", "")</f>
        <v>B.1.3</v>
      </c>
      <c r="L13" s="45" t="str">
        <f>IF('MAGUIKAY ES'!$A$26&lt;&gt;"", "B.1.4", "")</f>
        <v>B.1.4</v>
      </c>
      <c r="M13" s="45"/>
      <c r="N13" s="73"/>
      <c r="O13" s="69"/>
      <c r="P13" s="44" t="str">
        <f>IF('MAGUIKAY ES'!$A$30&lt;&gt;"", "C.1.1", "")</f>
        <v>C.1.1</v>
      </c>
      <c r="Q13" s="45" t="str">
        <f>IF('MAGUIKAY ES'!$A$31&lt;&gt;"", "C.1.2", "")</f>
        <v>C.1.2</v>
      </c>
      <c r="R13" s="45" t="str">
        <f>IF('MAGUIKAY ES'!$A$32&lt;&gt;"", "C.1.3", "")</f>
        <v>C.1.3</v>
      </c>
      <c r="S13" s="45" t="str">
        <f>IF('MAGUIKAY ES'!$A$33&lt;&gt;"", "C.1.4", "")</f>
        <v>C.1.4</v>
      </c>
      <c r="T13" s="45"/>
      <c r="U13" s="73"/>
      <c r="V13" s="69"/>
      <c r="W13" s="44" t="str">
        <f>IF('MAGUIKAY ES'!$A$37&lt;&gt;"", "D.1.1", "")</f>
        <v>D.1.1</v>
      </c>
      <c r="X13" s="45" t="str">
        <f>IF('MAGUIKAY ES'!$A$38&lt;&gt;"", "D.1.2", "")</f>
        <v>D.1.2</v>
      </c>
      <c r="Y13" s="45" t="str">
        <f>IF('MAGUIKAY ES'!$A$39&lt;&gt;"", "D.1.3", "")</f>
        <v>D.1.3</v>
      </c>
      <c r="Z13" s="45" t="str">
        <f>IF('MAGUIKAY ES'!$A$40&lt;&gt;"", "D.1.4", "")</f>
        <v>D.1.4</v>
      </c>
      <c r="AA13" s="45"/>
      <c r="AB13" s="73"/>
      <c r="AC13" s="69"/>
      <c r="AD13" s="44" t="str">
        <f>IF('MAGUIKAY ES'!$A$44&lt;&gt;"", "E.1.1", "")</f>
        <v>E.1.1</v>
      </c>
      <c r="AE13" s="45" t="str">
        <f>IF('MAGUIKAY ES'!$A$45&lt;&gt;"", "E.1.2", "")</f>
        <v>E.1.2</v>
      </c>
      <c r="AF13" s="45" t="str">
        <f>IF('MAGUIKAY ES'!$A$46&lt;&gt;"", "E.1.3", "")</f>
        <v>E.1.3</v>
      </c>
      <c r="AG13" s="45" t="str">
        <f>IF('MAGUIKAY ES'!$A$47&lt;&gt;"", "E.1.4", "")</f>
        <v>E.1.4</v>
      </c>
      <c r="AH13" s="45"/>
      <c r="AI13" s="73"/>
      <c r="AJ13" s="69"/>
      <c r="AK13" s="44" t="str">
        <f>IF('MAGUIKAY ES'!$A$51&lt;&gt;"", "F.1.1", "")</f>
        <v>F.1.1</v>
      </c>
      <c r="AL13" s="45" t="str">
        <f>IF('MAGUIKAY ES'!$A$52&lt;&gt;"", "F.1.2", "")</f>
        <v>F.1.2</v>
      </c>
      <c r="AM13" s="45" t="str">
        <f>IF('MAGUIKAY ES'!$A$53&lt;&gt;"", "F.1.3", "")</f>
        <v>F.1.3</v>
      </c>
      <c r="AN13" s="45" t="str">
        <f>IF('MAGUIKAY ES'!$A$54&lt;&gt;"", "F.1.4", "")</f>
        <v>F.1.4</v>
      </c>
      <c r="AO13" s="45" t="str">
        <f>IF('MAGUIKAY ES'!$A$55&lt;&gt;"", "F.1.5", "")</f>
        <v>F.1.5</v>
      </c>
      <c r="AP13" s="73"/>
      <c r="AQ13" s="69"/>
      <c r="AR13" s="44" t="str">
        <f>IF('MAGUIKAY ES'!$A$58&lt;&gt;"", "G.1.1", "")</f>
        <v>G.1.1</v>
      </c>
      <c r="AS13" s="45" t="str">
        <f>IF('MAGUIKAY ES'!$A$59&lt;&gt;"", "G.1.2", "")</f>
        <v>G.1.2</v>
      </c>
      <c r="AT13" s="45" t="str">
        <f>IF('MAGUIKAY ES'!$A$60&lt;&gt;"", "G.1.3", "")</f>
        <v>G.1.3</v>
      </c>
      <c r="AU13" s="45" t="str">
        <f>IF('MAGUIKAY ES'!$A$61&lt;&gt;"", "G.1.4", "")</f>
        <v>G.1.4</v>
      </c>
      <c r="AV13" s="45" t="str">
        <f>IF('MAGUIKAY ES'!$A$62&lt;&gt;"", "G.1.5", "")</f>
        <v/>
      </c>
      <c r="AW13" s="73"/>
      <c r="AX13" s="69"/>
      <c r="AY13" s="44" t="str">
        <f>IF('MAGUIKAY ES'!$A$65&lt;&gt;"", "H.1.1", "")</f>
        <v>H.1.1</v>
      </c>
      <c r="AZ13" s="45" t="str">
        <f>IF('MAGUIKAY ES'!$A$66&lt;&gt;"", "H.1.2", "")</f>
        <v>H.1.2</v>
      </c>
      <c r="BA13" s="45" t="str">
        <f>IF('MAGUIKAY ES'!$A$67&lt;&gt;"", "H.1.3", "")</f>
        <v>H.1.3</v>
      </c>
      <c r="BB13" s="45" t="str">
        <f>IF('MAGUIKAY ES'!$A$68&lt;&gt;"", "H.1.4", "")</f>
        <v>H.1.4</v>
      </c>
      <c r="BC13" s="45" t="str">
        <f>IF('MAGUIKAY ES'!$A$69&lt;&gt;"", "H.1.5", "")</f>
        <v>H.1.5</v>
      </c>
      <c r="BD13" s="73"/>
      <c r="BE13" s="69"/>
      <c r="BF13" s="44" t="str">
        <f>IF('MAGUIKAY ES'!$A$72&lt;&gt;"", "I.1.1", "")</f>
        <v>I.1.1</v>
      </c>
      <c r="BG13" s="45" t="str">
        <f>IF('MAGUIKAY ES'!$A$73&lt;&gt;"", "I.1.2", "")</f>
        <v>I.1.2</v>
      </c>
      <c r="BH13" s="45" t="str">
        <f>IF('MAGUIKAY ES'!$A$74&lt;&gt;"", "I.1.3", "")</f>
        <v>I.1.3</v>
      </c>
      <c r="BI13" s="45" t="str">
        <f>IF('MAGUIKAY ES'!$A$75&lt;&gt;"", "I.1.4", "")</f>
        <v>I.1.4</v>
      </c>
      <c r="BJ13" s="45" t="str">
        <f>IF('MAGUIKAY ES'!$A$76&lt;&gt;"", "I.1.5", "")</f>
        <v/>
      </c>
      <c r="BK13" s="73"/>
      <c r="BL13" s="69"/>
      <c r="BR13" s="35"/>
      <c r="BS13" s="35"/>
      <c r="BT13" s="35"/>
      <c r="BU13" s="35"/>
      <c r="BV13" s="35"/>
      <c r="BW13" s="35"/>
      <c r="BX13" s="35"/>
      <c r="BY13" s="35"/>
    </row>
    <row r="14" spans="1:88" s="43" customFormat="1" ht="27" customHeight="1" x14ac:dyDescent="0.25">
      <c r="A14" s="47" t="str">
        <f>IF('MAGUIKAY ES'!$B$11="","",'MAGUIKAY ES'!$B$11)</f>
        <v xml:space="preserve">MAGUIKAY ELEMENTARY SCHOOL </v>
      </c>
      <c r="B14" s="48" t="str">
        <f>IF('MAGUIKAY ES'!$AE$16=1,1,IF('MAGUIKAY ES'!$AE$16=0.5,2,""))</f>
        <v/>
      </c>
      <c r="C14" s="49" t="str">
        <f>IF('MAGUIKAY ES'!$AE$17=1,1,IF('MAGUIKAY ES'!$AE$17=0.5,2,""))</f>
        <v/>
      </c>
      <c r="D14" s="49" t="str">
        <f>IF('MAGUIKAY ES'!$AE$18=1,1,IF('MAGUIKAY ES'!$AE$18=0.5,2,""))</f>
        <v/>
      </c>
      <c r="E14" s="49" t="str">
        <f>IF('MAGUIKAY ES'!$AE$19=1,1,IF('MAGUIKAY ES'!$AE$19=0.5,2,""))</f>
        <v/>
      </c>
      <c r="F14" s="47"/>
      <c r="G14" s="50" t="str">
        <f>IFERROR(ROUND(AVERAGE(B14:F14),2), "")</f>
        <v/>
      </c>
      <c r="H14" s="51" t="str">
        <f>IF(G14="","",VLOOKUP(G14,$CH$14:$CK$17,3))</f>
        <v/>
      </c>
      <c r="I14" s="48" t="str">
        <f>IF('MAGUIKAY ES'!$AE$23=1,1,IF('MAGUIKAY ES'!$AE$23=0.5,2,""))</f>
        <v/>
      </c>
      <c r="J14" s="49" t="str">
        <f>IF('MAGUIKAY ES'!$AE$24=1,1,IF('MAGUIKAY ES'!$AE$24=0.5,2,""))</f>
        <v/>
      </c>
      <c r="K14" s="49" t="str">
        <f>IF('MAGUIKAY ES'!$AE$25=1,1,IF('MAGUIKAY ES'!$AE$25=0.5,2,""))</f>
        <v/>
      </c>
      <c r="L14" s="49" t="str">
        <f>IF('MAGUIKAY ES'!$AE$26=1,1,IF('MAGUIKAY ES'!$AE$26=0.5,2,""))</f>
        <v/>
      </c>
      <c r="M14" s="49"/>
      <c r="N14" s="50" t="str">
        <f>IFERROR(ROUND(AVERAGE(I14:M14),2), "")</f>
        <v/>
      </c>
      <c r="O14" s="51" t="str">
        <f>IF(N14="","",VLOOKUP(N14,$CH$14:$CK$17,3))</f>
        <v/>
      </c>
      <c r="P14" s="48" t="str">
        <f>IF('MAGUIKAY ES'!$AE$30=1,1,IF('MAGUIKAY ES'!$AE$30=0.5,2,""))</f>
        <v/>
      </c>
      <c r="Q14" s="49" t="str">
        <f>IF('MAGUIKAY ES'!$AE$31=1,1,IF('MAGUIKAY ES'!$AE$31=0.5,2,""))</f>
        <v/>
      </c>
      <c r="R14" s="49" t="str">
        <f>IF('MAGUIKAY ES'!$AE$32=1,1,IF('MAGUIKAY ES'!$AE$32=0.5,2,""))</f>
        <v/>
      </c>
      <c r="S14" s="49" t="str">
        <f>IF('MAGUIKAY ES'!$AE$33=1,1,IF('MAGUIKAY ES'!$AE$33=0.5,2,""))</f>
        <v/>
      </c>
      <c r="T14" s="49"/>
      <c r="U14" s="50" t="str">
        <f>IFERROR(ROUND(AVERAGE(P14:T14),2), "")</f>
        <v/>
      </c>
      <c r="V14" s="51" t="str">
        <f>IF(U14="","",VLOOKUP(U14,$CH$14:$CK$17,3))</f>
        <v/>
      </c>
      <c r="W14" s="48" t="str">
        <f>IF('MAGUIKAY ES'!$AE$37=1,1,IF('MAGUIKAY ES'!$AE$37=0.5,2,""))</f>
        <v/>
      </c>
      <c r="X14" s="49" t="str">
        <f>IF('MAGUIKAY ES'!$AE$38=1,1,IF('MAGUIKAY ES'!$AE$38=0.5,2,""))</f>
        <v/>
      </c>
      <c r="Y14" s="49" t="str">
        <f>IF('MAGUIKAY ES'!$AE$39=1,1,IF('MAGUIKAY ES'!$AE$39=0.5,2,""))</f>
        <v/>
      </c>
      <c r="Z14" s="49" t="str">
        <f>IF('MAGUIKAY ES'!$AE$40=1,1,IF('MAGUIKAY ES'!$AE$40=0.5,2,""))</f>
        <v/>
      </c>
      <c r="AA14" s="49"/>
      <c r="AB14" s="50" t="str">
        <f>IFERROR(ROUND(AVERAGE(W14:AA14),2), "")</f>
        <v/>
      </c>
      <c r="AC14" s="51" t="str">
        <f>IF(AB14="","",VLOOKUP(AB14,$CH$14:$CK$17,3))</f>
        <v/>
      </c>
      <c r="AD14" s="48" t="str">
        <f>IF('MAGUIKAY ES'!$AE$44=1,1,IF('MAGUIKAY ES'!$AE$44=0.5,2,""))</f>
        <v/>
      </c>
      <c r="AE14" s="49" t="str">
        <f>IF('MAGUIKAY ES'!$AE$45=1,1,IF('MAGUIKAY ES'!$AE$45=0.5,2,""))</f>
        <v/>
      </c>
      <c r="AF14" s="49" t="str">
        <f>IF('MAGUIKAY ES'!$AE$46=1,1,IF('MAGUIKAY ES'!$AE$46=0.5,2,""))</f>
        <v/>
      </c>
      <c r="AG14" s="49" t="str">
        <f>IF('MAGUIKAY ES'!$AE$47=1,1,IF('MAGUIKAY ES'!$AE$47=0.5,2,""))</f>
        <v/>
      </c>
      <c r="AH14" s="49"/>
      <c r="AI14" s="50" t="str">
        <f>IFERROR(ROUND(AVERAGE(AD14:AH14),2), "")</f>
        <v/>
      </c>
      <c r="AJ14" s="51" t="str">
        <f>IF(AI14="","",VLOOKUP(AI14,$CH$14:$CK$17,3))</f>
        <v/>
      </c>
      <c r="AK14" s="48" t="str">
        <f>IF('MAGUIKAY ES'!$AE$51=1,1,IF('MAGUIKAY ES'!$AE$51=0.5,2,""))</f>
        <v/>
      </c>
      <c r="AL14" s="49" t="str">
        <f>IF('MAGUIKAY ES'!$AE$52=1,1,IF('MAGUIKAY ES'!$AE$52=0.5,2,""))</f>
        <v/>
      </c>
      <c r="AM14" s="49" t="str">
        <f>IF('MAGUIKAY ES'!$AE$53=1,1,IF('MAGUIKAY ES'!$AE$53=0.5,2,""))</f>
        <v/>
      </c>
      <c r="AN14" s="49" t="str">
        <f>IF('MAGUIKAY ES'!$AE$54=1,1,IF('MAGUIKAY ES'!$AE$54=0.5,2,""))</f>
        <v/>
      </c>
      <c r="AO14" s="49" t="str">
        <f>IF('MAGUIKAY ES'!$AE$55=1,1,IF('MAGUIKAY ES'!$AE$55=0.5,2,""))</f>
        <v/>
      </c>
      <c r="AP14" s="50" t="str">
        <f>IFERROR(ROUND(AVERAGE(AK14:AO14),2), "")</f>
        <v/>
      </c>
      <c r="AQ14" s="51" t="str">
        <f>IF(AP14="","",VLOOKUP(AP14,$CH$14:$CK$17,3))</f>
        <v/>
      </c>
      <c r="AR14" s="48" t="str">
        <f>IF('MAGUIKAY ES'!$AE$58=1,1,IF('MAGUIKAY ES'!$AE$58=0.5,2,""))</f>
        <v/>
      </c>
      <c r="AS14" s="49" t="str">
        <f>IF('MAGUIKAY ES'!$AE$59=1,1,IF('MAGUIKAY ES'!$AE$59=0.5,2,""))</f>
        <v/>
      </c>
      <c r="AT14" s="49" t="str">
        <f>IF('MAGUIKAY ES'!$AE$60=1,1,IF('MAGUIKAY ES'!$AE$60=0.5,2,""))</f>
        <v/>
      </c>
      <c r="AU14" s="49" t="str">
        <f>IF('MAGUIKAY ES'!$AE$61=1,1,IF('MAGUIKAY ES'!$AE$61=0.5,2,""))</f>
        <v/>
      </c>
      <c r="AV14" s="49" t="str">
        <f>IF('MAGUIKAY ES'!$AE$62=1,1,IF('MAGUIKAY ES'!$AE$62=0.5,2,""))</f>
        <v/>
      </c>
      <c r="AW14" s="50" t="str">
        <f>IFERROR(ROUND(AVERAGE(AR14:AV14),2), "")</f>
        <v/>
      </c>
      <c r="AX14" s="51" t="str">
        <f>IF(AW14="","",VLOOKUP(AW14,$CH$14:$CK$17,3))</f>
        <v/>
      </c>
      <c r="AY14" s="48" t="str">
        <f>IF('MAGUIKAY ES'!$AE$65=1,1,IF('MAGUIKAY ES'!$AE$65=0.5,2,""))</f>
        <v/>
      </c>
      <c r="AZ14" s="49" t="str">
        <f>IF('MAGUIKAY ES'!$AE$66=1,1,IF('MAGUIKAY ES'!$AE$66=0.5,2,""))</f>
        <v/>
      </c>
      <c r="BA14" s="49" t="str">
        <f>IF('MAGUIKAY ES'!$AE$67=1,1,IF('MAGUIKAY ES'!$AE$67=0.5,2,""))</f>
        <v/>
      </c>
      <c r="BB14" s="49" t="str">
        <f>IF('MAGUIKAY ES'!$AE$68=1,1,IF('MAGUIKAY ES'!$AE$68=0.5,2,""))</f>
        <v/>
      </c>
      <c r="BC14" s="49" t="str">
        <f>IF('MAGUIKAY ES'!$AE$69=1,1,IF('MAGUIKAY ES'!$AE$69=0.5,2,""))</f>
        <v/>
      </c>
      <c r="BD14" s="50" t="str">
        <f>IFERROR(ROUND(AVERAGE(AY14:BC14),2), "")</f>
        <v/>
      </c>
      <c r="BE14" s="51" t="str">
        <f>IF(BD14="","",VLOOKUP(BD14,$CH$14:$CK$17,3))</f>
        <v/>
      </c>
      <c r="BF14" s="48" t="str">
        <f>IF('MAGUIKAY ES'!$AE$72=1,1,IF('MAGUIKAY ES'!$AE$72=0.5,2,""))</f>
        <v/>
      </c>
      <c r="BG14" s="49" t="str">
        <f>IF('MAGUIKAY ES'!$AE$73=1,1,IF('MAGUIKAY ES'!$AE$73=0.5,2,""))</f>
        <v/>
      </c>
      <c r="BH14" s="49" t="str">
        <f>IF('MAGUIKAY ES'!$AE$74=1,1,IF('MAGUIKAY ES'!$AE$74=0.5,2,""))</f>
        <v/>
      </c>
      <c r="BI14" s="49" t="str">
        <f>IF('MAGUIKAY ES'!$AE$75=1,1,IF('MAGUIKAY ES'!$AE$75=0.5,2,""))</f>
        <v/>
      </c>
      <c r="BJ14" s="49" t="str">
        <f>IF('MAGUIKAY ES'!$AE$76=1,1,IF('MAGUIKAY ES'!$AE$76=0.5,2,""))</f>
        <v/>
      </c>
      <c r="BK14" s="50" t="str">
        <f>IFERROR(ROUND(AVERAGE(BF14:BJ14),2), "")</f>
        <v/>
      </c>
      <c r="BL14" s="52" t="str">
        <f>IF(BK14="","",VLOOKUP(BK14,$CH$14:$CK$17,3))</f>
        <v/>
      </c>
      <c r="BR14" s="35"/>
      <c r="BS14" s="35"/>
      <c r="BT14" s="35"/>
      <c r="BU14" s="35"/>
      <c r="BV14" s="35"/>
      <c r="BW14" s="35"/>
      <c r="BX14" s="35"/>
      <c r="BY14" s="35"/>
      <c r="CH14" s="43">
        <v>1</v>
      </c>
      <c r="CI14" s="43">
        <v>1.25</v>
      </c>
      <c r="CJ14" s="53" t="s">
        <v>76</v>
      </c>
    </row>
    <row r="15" spans="1:88" s="43" customFormat="1" ht="27" customHeight="1" x14ac:dyDescent="0.25">
      <c r="A15" s="54" t="str">
        <f>IF('CABANCALAN I ES'!$B$11="","",'CABANCALAN I ES'!$B$11)</f>
        <v>CABANCALAN ELEMENTARY SCHOOL 1</v>
      </c>
      <c r="B15" s="55" t="str">
        <f>IF('CABANCALAN I ES'!$AE$16=1,1,IF('CABANCALAN I ES'!$AE$16=0.5,2,""))</f>
        <v/>
      </c>
      <c r="C15" s="56" t="str">
        <f>IF('CABANCALAN I ES'!$AE$17=1,1,IF('CABANCALAN I ES'!$AE$17=0.5,2,""))</f>
        <v/>
      </c>
      <c r="D15" s="56" t="str">
        <f>IF('CABANCALAN I ES'!$AE$18=1,1,IF('CABANCALAN I ES'!$AE$18=0.5,2,""))</f>
        <v/>
      </c>
      <c r="E15" s="56" t="str">
        <f>IF('CABANCALAN I ES'!$AE$19=1,1,IF('CABANCALAN I ES'!$AE$19=0.5,2,""))</f>
        <v/>
      </c>
      <c r="F15" s="54"/>
      <c r="G15" s="50" t="str">
        <f t="shared" ref="G15:G19" si="0">IFERROR(ROUND(AVERAGE(B15:F15),2), "")</f>
        <v/>
      </c>
      <c r="H15" s="51" t="str">
        <f t="shared" ref="H15:H20" si="1">IF(G15="","",VLOOKUP(G15,$CH$14:$CK$17,3))</f>
        <v/>
      </c>
      <c r="I15" s="55" t="str">
        <f>IF('CABANCALAN I ES'!$AE$23=1,1,IF('CABANCALAN I ES'!$AE$23=0.5,2,""))</f>
        <v/>
      </c>
      <c r="J15" s="56" t="str">
        <f>IF('CABANCALAN I ES'!$AE$24=1,1,IF('CABANCALAN I ES'!$AE$24=0.5,2,""))</f>
        <v/>
      </c>
      <c r="K15" s="56" t="str">
        <f>IF('CABANCALAN I ES'!$AE$25=1,1,IF('CABANCALAN I ES'!$AE$25=0.5,2,""))</f>
        <v/>
      </c>
      <c r="L15" s="56" t="str">
        <f>IF('CABANCALAN I ES'!$AE$26=1,1,IF('CABANCALAN I ES'!$AE$26=0.5,2,""))</f>
        <v/>
      </c>
      <c r="M15" s="56"/>
      <c r="N15" s="50" t="str">
        <f t="shared" ref="N15:N19" si="2">IFERROR(ROUND(AVERAGE(I15:M15),2), "")</f>
        <v/>
      </c>
      <c r="O15" s="51" t="str">
        <f t="shared" ref="O15:O20" si="3">IF(N15="","",VLOOKUP(N15,$CH$14:$CK$17,3))</f>
        <v/>
      </c>
      <c r="P15" s="55" t="str">
        <f>IF('CABANCALAN I ES'!$AE$30=1,1,IF('CABANCALAN I ES'!$AE$30=0.5,2,""))</f>
        <v/>
      </c>
      <c r="Q15" s="56" t="str">
        <f>IF('CABANCALAN I ES'!$AE$31=1,1,IF('CABANCALAN I ES'!$AE$31=0.5,2,""))</f>
        <v/>
      </c>
      <c r="R15" s="56" t="str">
        <f>IF('CABANCALAN I ES'!$AE$32=1,1,IF('CABANCALAN I ES'!$AE$32=0.5,2,""))</f>
        <v/>
      </c>
      <c r="S15" s="56" t="str">
        <f>IF('CABANCALAN I ES'!$AE$33=1,1,IF('CABANCALAN I ES'!$AE$33=0.5,2,""))</f>
        <v/>
      </c>
      <c r="T15" s="56"/>
      <c r="U15" s="50" t="str">
        <f t="shared" ref="U15:U19" si="4">IFERROR(ROUND(AVERAGE(P15:T15),2), "")</f>
        <v/>
      </c>
      <c r="V15" s="51" t="str">
        <f t="shared" ref="V15:V20" si="5">IF(U15="","",VLOOKUP(U15,$CH$14:$CK$17,3))</f>
        <v/>
      </c>
      <c r="W15" s="55" t="str">
        <f>IF('CABANCALAN I ES'!$AE$37=1,1,IF('CABANCALAN I ES'!$AE$37=0.5,2,""))</f>
        <v/>
      </c>
      <c r="X15" s="56" t="str">
        <f>IF('CABANCALAN I ES'!$AE$38=1,1,IF('CABANCALAN I ES'!$AE$38=0.5,2,""))</f>
        <v/>
      </c>
      <c r="Y15" s="56" t="str">
        <f>IF('CABANCALAN I ES'!$AE$39=1,1,IF('CABANCALAN I ES'!$AE$39=0.5,2,""))</f>
        <v/>
      </c>
      <c r="Z15" s="56" t="str">
        <f>IF('CABANCALAN I ES'!$AE$40=1,1,IF('CABANCALAN I ES'!$AE$40=0.5,2,""))</f>
        <v/>
      </c>
      <c r="AA15" s="56"/>
      <c r="AB15" s="50" t="str">
        <f t="shared" ref="AB15:AB19" si="6">IFERROR(ROUND(AVERAGE(W15:AA15),2), "")</f>
        <v/>
      </c>
      <c r="AC15" s="51" t="str">
        <f t="shared" ref="AC15:AC20" si="7">IF(AB15="","",VLOOKUP(AB15,$CH$14:$CK$17,3))</f>
        <v/>
      </c>
      <c r="AD15" s="55" t="str">
        <f>IF('CABANCALAN I ES'!$AE$44=1,1,IF('CABANCALAN I ES'!$AE$44=0.5,2,""))</f>
        <v/>
      </c>
      <c r="AE15" s="56" t="str">
        <f>IF('CABANCALAN I ES'!$AE$45=1,1,IF('CABANCALAN I ES'!$AE$45=0.5,2,""))</f>
        <v/>
      </c>
      <c r="AF15" s="56" t="str">
        <f>IF('CABANCALAN I ES'!$AE$46=1,1,IF('CABANCALAN I ES'!$AE$46=0.5,2,""))</f>
        <v/>
      </c>
      <c r="AG15" s="56" t="str">
        <f>IF('CABANCALAN I ES'!$AE$47=1,1,IF('CABANCALAN I ES'!$AE$47=0.5,2,""))</f>
        <v/>
      </c>
      <c r="AH15" s="56"/>
      <c r="AI15" s="50" t="str">
        <f t="shared" ref="AI15:AI19" si="8">IFERROR(ROUND(AVERAGE(AD15:AH15),2), "")</f>
        <v/>
      </c>
      <c r="AJ15" s="51" t="str">
        <f t="shared" ref="AJ15:AJ20" si="9">IF(AI15="","",VLOOKUP(AI15,$CH$14:$CK$17,3))</f>
        <v/>
      </c>
      <c r="AK15" s="55" t="str">
        <f>IF('CABANCALAN I ES'!$AE$51=1,1,IF('CABANCALAN I ES'!$AE$51=0.5,2,""))</f>
        <v/>
      </c>
      <c r="AL15" s="56" t="str">
        <f>IF('CABANCALAN I ES'!$AE$52=1,1,IF('CABANCALAN I ES'!$AE$52=0.5,2,""))</f>
        <v/>
      </c>
      <c r="AM15" s="56" t="str">
        <f>IF('CABANCALAN I ES'!$AE$53=1,1,IF('CABANCALAN I ES'!$AE$53=0.5,2,""))</f>
        <v/>
      </c>
      <c r="AN15" s="56" t="str">
        <f>IF('CABANCALAN I ES'!$AE$54=1,1,IF('CABANCALAN I ES'!$AE$54=0.5,2,""))</f>
        <v/>
      </c>
      <c r="AO15" s="56" t="str">
        <f>IF('CABANCALAN I ES'!$AE$55=1,1,IF('CABANCALAN I ES'!$AE$55=0.5,2,""))</f>
        <v/>
      </c>
      <c r="AP15" s="50" t="str">
        <f t="shared" ref="AP15:AP19" si="10">IFERROR(ROUND(AVERAGE(AK15:AO15),2), "")</f>
        <v/>
      </c>
      <c r="AQ15" s="51" t="str">
        <f t="shared" ref="AQ15:AQ20" si="11">IF(AP15="","",VLOOKUP(AP15,$CH$14:$CK$17,3))</f>
        <v/>
      </c>
      <c r="AR15" s="55" t="str">
        <f>IF('CABANCALAN I ES'!$AE$58=1,1,IF('CABANCALAN I ES'!$AE$58=0.5,2,""))</f>
        <v/>
      </c>
      <c r="AS15" s="56" t="str">
        <f>IF('CABANCALAN I ES'!$AE$59=1,1,IF('CABANCALAN I ES'!$AE$59=0.5,2,""))</f>
        <v/>
      </c>
      <c r="AT15" s="56" t="str">
        <f>IF('CABANCALAN I ES'!$AE$60=1,1,IF('CABANCALAN I ES'!$AE$60=0.5,2,""))</f>
        <v/>
      </c>
      <c r="AU15" s="56" t="str">
        <f>IF('CABANCALAN I ES'!$AE$61=1,1,IF('CABANCALAN I ES'!$AE$61=0.5,2,""))</f>
        <v/>
      </c>
      <c r="AV15" s="56" t="str">
        <f>IF('CABANCALAN I ES'!$AE$62=1,1,IF('CABANCALAN I ES'!$AE$62=0.5,2,""))</f>
        <v/>
      </c>
      <c r="AW15" s="50" t="str">
        <f t="shared" ref="AW15:AW19" si="12">IFERROR(ROUND(AVERAGE(AR15:AV15),2), "")</f>
        <v/>
      </c>
      <c r="AX15" s="51" t="str">
        <f t="shared" ref="AX15:AX20" si="13">IF(AW15="","",VLOOKUP(AW15,$CH$14:$CK$17,3))</f>
        <v/>
      </c>
      <c r="AY15" s="55" t="str">
        <f>IF('CABANCALAN I ES'!$AE$65=1,1,IF('CABANCALAN I ES'!$AE$65=0.5,2,""))</f>
        <v/>
      </c>
      <c r="AZ15" s="56" t="str">
        <f>IF('CABANCALAN I ES'!$AE$66=1,1,IF('CABANCALAN I ES'!$AE$66=0.5,2,""))</f>
        <v/>
      </c>
      <c r="BA15" s="56" t="str">
        <f>IF('CABANCALAN I ES'!$AE$67=1,1,IF('CABANCALAN I ES'!$AE$67=0.5,2,""))</f>
        <v/>
      </c>
      <c r="BB15" s="56" t="str">
        <f>IF('CABANCALAN I ES'!$AE$68=1,1,IF('CABANCALAN I ES'!$AE$68=0.5,2,""))</f>
        <v/>
      </c>
      <c r="BC15" s="56" t="str">
        <f>IF('CABANCALAN I ES'!$AE$69=1,1,IF('CABANCALAN I ES'!$AE$69=0.5,2,""))</f>
        <v/>
      </c>
      <c r="BD15" s="50" t="str">
        <f t="shared" ref="BD15:BD19" si="14">IFERROR(ROUND(AVERAGE(AY15:BC15),2), "")</f>
        <v/>
      </c>
      <c r="BE15" s="51" t="str">
        <f t="shared" ref="BE15:BE20" si="15">IF(BD15="","",VLOOKUP(BD15,$CH$14:$CK$17,3))</f>
        <v/>
      </c>
      <c r="BF15" s="55" t="str">
        <f>IF('CABANCALAN I ES'!$AE$72=1,1,IF('CABANCALAN I ES'!$AE$72=0.5,2,""))</f>
        <v/>
      </c>
      <c r="BG15" s="56" t="str">
        <f>IF('CABANCALAN I ES'!$AE$73=1,1,IF('CABANCALAN I ES'!$AE$73=0.5,2,""))</f>
        <v/>
      </c>
      <c r="BH15" s="56" t="str">
        <f>IF('CABANCALAN I ES'!$AE$74=1,1,IF('CABANCALAN I ES'!$AE$74=0.5,2,""))</f>
        <v/>
      </c>
      <c r="BI15" s="56" t="str">
        <f>IF('CABANCALAN I ES'!$AE$75=1,1,IF('CABANCALAN I ES'!$AE$75=0.5,2,""))</f>
        <v/>
      </c>
      <c r="BJ15" s="56" t="str">
        <f>IF('CABANCALAN I ES'!$AE$76=1,1,IF('CABANCALAN I ES'!$AE$76=0.5,2,""))</f>
        <v/>
      </c>
      <c r="BK15" s="50" t="str">
        <f t="shared" ref="BK15:BK19" si="16">IFERROR(ROUND(AVERAGE(BF15:BJ15),2), "")</f>
        <v/>
      </c>
      <c r="BL15" s="52" t="str">
        <f t="shared" ref="BL15:BL20" si="17">IF(BK15="","",VLOOKUP(BK15,$CH$14:$CK$17,3))</f>
        <v/>
      </c>
      <c r="BR15" s="35"/>
      <c r="BS15" s="35"/>
      <c r="BT15" s="35"/>
      <c r="BU15" s="35"/>
      <c r="BV15" s="35"/>
      <c r="BW15" s="35"/>
      <c r="BX15" s="35"/>
      <c r="BY15" s="35"/>
      <c r="CH15" s="43">
        <v>1.26</v>
      </c>
      <c r="CI15" s="43">
        <v>1.5</v>
      </c>
      <c r="CJ15" s="53" t="s">
        <v>77</v>
      </c>
    </row>
    <row r="16" spans="1:88" s="43" customFormat="1" ht="27" customHeight="1" x14ac:dyDescent="0.25">
      <c r="A16" s="54" t="str">
        <f>IF('TABOK ES 1'!$B$11="","",'TABOK ES 1'!$B$11)</f>
        <v>TABOK ELEMENTARY SCHOOL 1</v>
      </c>
      <c r="B16" s="55">
        <f>IF('TABOK ES 1'!$AE$16=1,1,IF('TABOK ES 1'!$AE$16=0.5,2,""))</f>
        <v>2</v>
      </c>
      <c r="C16" s="56">
        <f>IF('TABOK ES 1'!$AE$17=1,1,IF('TABOK ES 1'!$AE$17=0.5,2,""))</f>
        <v>1</v>
      </c>
      <c r="D16" s="56">
        <f>IF('TABOK ES 1'!$AE$18=1,1,IF('TABOK ES 1'!$AE$18=0.5,2,""))</f>
        <v>1</v>
      </c>
      <c r="E16" s="56">
        <f>IF('TABOK ES 1'!$AE$19=1,1,IF('TABOK ES 1'!$AE$19=0.5,2,""))</f>
        <v>1</v>
      </c>
      <c r="F16" s="54"/>
      <c r="G16" s="50">
        <f t="shared" si="0"/>
        <v>1.25</v>
      </c>
      <c r="H16" s="51" t="str">
        <f t="shared" si="1"/>
        <v>Fully Implemented</v>
      </c>
      <c r="I16" s="55">
        <f>IF('TABOK ES 1'!$AE$23=1,1,IF('TABOK ES 1'!$AE$23=0.5,2,""))</f>
        <v>2</v>
      </c>
      <c r="J16" s="56">
        <f>IF('TABOK ES 1'!$AE$24=1,1,IF('TABOK ES 1'!$AE$24=0.5,2,""))</f>
        <v>2</v>
      </c>
      <c r="K16" s="56">
        <f>IF('TABOK ES 1'!$AE$25=1,1,IF('TABOK ES 1'!$AE$25=0.5,2,""))</f>
        <v>2</v>
      </c>
      <c r="L16" s="56">
        <f>IF('TABOK ES 1'!$AE$26=1,1,IF('TABOK ES 1'!$AE$26=0.5,2,""))</f>
        <v>2</v>
      </c>
      <c r="M16" s="56"/>
      <c r="N16" s="50">
        <f t="shared" si="2"/>
        <v>2</v>
      </c>
      <c r="O16" s="51" t="str">
        <f t="shared" si="3"/>
        <v>Needs Improvement</v>
      </c>
      <c r="P16" s="55">
        <f>IF('TABOK ES 1'!$AE$30=1,1,IF('TABOK ES 1'!$AE$30=0.5,2,""))</f>
        <v>1</v>
      </c>
      <c r="Q16" s="56">
        <f>IF('TABOK ES 1'!$AE$31=1,1,IF('TABOK ES 1'!$AE$31=0.5,2,""))</f>
        <v>1</v>
      </c>
      <c r="R16" s="56">
        <f>IF('TABOK ES 1'!$AE$32=1,1,IF('TABOK ES 1'!$AE$32=0.5,2,""))</f>
        <v>1</v>
      </c>
      <c r="S16" s="56">
        <f>IF('TABOK ES 1'!$AE$33=1,1,IF('TABOK ES 1'!$AE$33=0.5,2,""))</f>
        <v>1</v>
      </c>
      <c r="T16" s="56"/>
      <c r="U16" s="50">
        <f t="shared" si="4"/>
        <v>1</v>
      </c>
      <c r="V16" s="51" t="str">
        <f t="shared" si="5"/>
        <v>Fully Implemented</v>
      </c>
      <c r="W16" s="55">
        <f>IF('TABOK ES 1'!$AE$37=1,1,IF('TABOK ES 1'!$AE$37=0.5,2,""))</f>
        <v>2</v>
      </c>
      <c r="X16" s="56">
        <f>IF('TABOK ES 1'!$AE$38=1,1,IF('TABOK ES 1'!$AE$38=0.5,2,""))</f>
        <v>1</v>
      </c>
      <c r="Y16" s="56">
        <f>IF('TABOK ES 1'!$AE$39=1,1,IF('TABOK ES 1'!$AE$39=0.5,2,""))</f>
        <v>1</v>
      </c>
      <c r="Z16" s="56">
        <f>IF('TABOK ES 1'!$AE$40=1,1,IF('TABOK ES 1'!$AE$40=0.5,2,""))</f>
        <v>1</v>
      </c>
      <c r="AA16" s="56"/>
      <c r="AB16" s="50">
        <f t="shared" si="6"/>
        <v>1.25</v>
      </c>
      <c r="AC16" s="51" t="str">
        <f t="shared" si="7"/>
        <v>Fully Implemented</v>
      </c>
      <c r="AD16" s="55">
        <f>IF('TABOK ES 1'!$AE$44=1,1,IF('TABOK ES 1'!$AE$44=0.5,2,""))</f>
        <v>2</v>
      </c>
      <c r="AE16" s="56">
        <f>IF('TABOK ES 1'!$AE$45=1,1,IF('TABOK ES 1'!$AE$45=0.5,2,""))</f>
        <v>2</v>
      </c>
      <c r="AF16" s="56">
        <f>IF('TABOK ES 1'!$AE$46=1,1,IF('TABOK ES 1'!$AE$46=0.5,2,""))</f>
        <v>1</v>
      </c>
      <c r="AG16" s="56">
        <f>IF('TABOK ES 1'!$AE$47=1,1,IF('TABOK ES 1'!$AE$47=0.5,2,""))</f>
        <v>2</v>
      </c>
      <c r="AH16" s="56"/>
      <c r="AI16" s="50">
        <f t="shared" si="8"/>
        <v>1.75</v>
      </c>
      <c r="AJ16" s="51" t="str">
        <f t="shared" si="9"/>
        <v>Partially Implemented</v>
      </c>
      <c r="AK16" s="55">
        <f>IF('TABOK ES 1'!$AE$51=1,1,IF('TABOK ES 1'!$AE$51=0.5,2,""))</f>
        <v>1</v>
      </c>
      <c r="AL16" s="56">
        <f>IF('TABOK ES 1'!$AE$52=1,1,IF('TABOK ES 1'!$AE$52=0.5,2,""))</f>
        <v>1</v>
      </c>
      <c r="AM16" s="56">
        <f>IF('TABOK ES 1'!$AE$53=1,1,IF('TABOK ES 1'!$AE$53=0.5,2,""))</f>
        <v>1</v>
      </c>
      <c r="AN16" s="56">
        <f>IF('TABOK ES 1'!$AE$54=1,1,IF('TABOK ES 1'!$AE$54=0.5,2,""))</f>
        <v>1</v>
      </c>
      <c r="AO16" s="56">
        <f>IF('TABOK ES 1'!$AE$55=1,1,IF('TABOK ES 1'!$AE$55=0.5,2,""))</f>
        <v>1</v>
      </c>
      <c r="AP16" s="50">
        <f t="shared" si="10"/>
        <v>1</v>
      </c>
      <c r="AQ16" s="51" t="str">
        <f t="shared" si="11"/>
        <v>Fully Implemented</v>
      </c>
      <c r="AR16" s="55">
        <f>IF('TABOK ES 1'!$AE$58=1,1,IF('TABOK ES 1'!$AE$58=0.5,2,""))</f>
        <v>1</v>
      </c>
      <c r="AS16" s="56">
        <f>IF('TABOK ES 1'!$AE$59=1,1,IF('TABOK ES 1'!$AE$59=0.5,2,""))</f>
        <v>1</v>
      </c>
      <c r="AT16" s="56">
        <f>IF('TABOK ES 1'!$AE$60=1,1,IF('TABOK ES 1'!$AE$60=0.5,2,""))</f>
        <v>1</v>
      </c>
      <c r="AU16" s="56">
        <f>IF('TABOK ES 1'!$AE$61=1,1,IF('TABOK ES 1'!$AE$61=0.5,2,""))</f>
        <v>1</v>
      </c>
      <c r="AV16" s="56" t="str">
        <f>IF('TABOK ES 1'!$AE$62=1,1,IF('TABOK ES 1'!$AE$62=0.5,2,""))</f>
        <v/>
      </c>
      <c r="AW16" s="50">
        <f t="shared" si="12"/>
        <v>1</v>
      </c>
      <c r="AX16" s="51" t="str">
        <f t="shared" si="13"/>
        <v>Fully Implemented</v>
      </c>
      <c r="AY16" s="55">
        <f>IF('TABOK ES 1'!$AE$65=1,1,IF('TABOK ES 1'!$AE$65=0.5,2,""))</f>
        <v>1</v>
      </c>
      <c r="AZ16" s="56">
        <f>IF('TABOK ES 1'!$AE$66=1,1,IF('TABOK ES 1'!$AE$66=0.5,2,""))</f>
        <v>1</v>
      </c>
      <c r="BA16" s="56">
        <f>IF('TABOK ES 1'!$AE$67=1,1,IF('TABOK ES 1'!$AE$67=0.5,2,""))</f>
        <v>1</v>
      </c>
      <c r="BB16" s="56">
        <f>IF('TABOK ES 1'!$AE$68=1,1,IF('TABOK ES 1'!$AE$68=0.5,2,""))</f>
        <v>1</v>
      </c>
      <c r="BC16" s="56">
        <f>IF('TABOK ES 1'!$AE$69=1,1,IF('TABOK ES 1'!$AE$69=0.5,2,""))</f>
        <v>1</v>
      </c>
      <c r="BD16" s="50">
        <f t="shared" si="14"/>
        <v>1</v>
      </c>
      <c r="BE16" s="51" t="str">
        <f t="shared" si="15"/>
        <v>Fully Implemented</v>
      </c>
      <c r="BF16" s="55">
        <f>IF('TABOK ES 1'!$AE$72=1,1,IF('TABOK ES 1'!$AE$72=0.5,2,""))</f>
        <v>1</v>
      </c>
      <c r="BG16" s="56">
        <f>IF('TABOK ES 1'!$AE$73=1,1,IF('TABOK ES 1'!$AE$73=0.5,2,""))</f>
        <v>1</v>
      </c>
      <c r="BH16" s="56">
        <f>IF('TABOK ES 1'!$AE$74=1,1,IF('TABOK ES 1'!$AE$74=0.5,2,""))</f>
        <v>1</v>
      </c>
      <c r="BI16" s="56">
        <f>IF('TABOK ES 1'!$AE$75=1,1,IF('TABOK ES 1'!$AE$75=0.5,2,""))</f>
        <v>1</v>
      </c>
      <c r="BJ16" s="56" t="str">
        <f>IF('TABOK ES 1'!$AE$76=1,1,IF('TABOK ES 1'!$AE$76=0.5,2,""))</f>
        <v/>
      </c>
      <c r="BK16" s="50">
        <f t="shared" si="16"/>
        <v>1</v>
      </c>
      <c r="BL16" s="52" t="str">
        <f t="shared" si="17"/>
        <v>Fully Implemented</v>
      </c>
      <c r="BR16" s="35"/>
      <c r="BS16" s="35"/>
      <c r="BT16" s="35"/>
      <c r="BU16" s="35"/>
      <c r="BV16" s="35"/>
      <c r="BW16" s="35"/>
      <c r="BX16" s="35"/>
      <c r="BY16" s="35"/>
      <c r="CH16" s="43">
        <v>1.51</v>
      </c>
      <c r="CI16" s="43">
        <v>1.75</v>
      </c>
      <c r="CJ16" s="53" t="s">
        <v>78</v>
      </c>
    </row>
    <row r="17" spans="1:88" s="43" customFormat="1" ht="27" customHeight="1" x14ac:dyDescent="0.25">
      <c r="A17" s="54" t="str">
        <f>IF('TABOK ES II'!$B$11="","",'TABOK ES II'!$B$11)</f>
        <v>TABOK ELEMENTARY SCHOOL II</v>
      </c>
      <c r="B17" s="55">
        <f>IF('TABOK ES II'!$AE$16=1,1,IF('TABOK ES II'!$AE$16=0.5,2,""))</f>
        <v>1</v>
      </c>
      <c r="C17" s="56">
        <f>IF('TABOK ES II'!$AE$17=1,1,IF('TABOK ES II'!$AE$17=0.5,2,""))</f>
        <v>1</v>
      </c>
      <c r="D17" s="56">
        <f>IF('TABOK ES II'!$AE$18=1,1,IF('TABOK ES II'!$AE$18=0.5,2,""))</f>
        <v>1</v>
      </c>
      <c r="E17" s="56">
        <f>IF('TABOK ES II'!$AE$19=1,1,IF('TABOK ES II'!$AE$19=0.5,2,""))</f>
        <v>1</v>
      </c>
      <c r="F17" s="54"/>
      <c r="G17" s="50">
        <f t="shared" si="0"/>
        <v>1</v>
      </c>
      <c r="H17" s="51" t="str">
        <f t="shared" si="1"/>
        <v>Fully Implemented</v>
      </c>
      <c r="I17" s="55">
        <f>IF('TABOK ES II'!$AE$23=1,1,IF('TABOK ES II'!$AE$23=0.5,2,""))</f>
        <v>2</v>
      </c>
      <c r="J17" s="56">
        <f>IF('TABOK ES II'!$AE$24=1,1,IF('TABOK ES II'!$AE$24=0.5,2,""))</f>
        <v>2</v>
      </c>
      <c r="K17" s="56">
        <f>IF('TABOK ES II'!$AE$25=1,1,IF('TABOK ES II'!$AE$25=0.5,2,""))</f>
        <v>2</v>
      </c>
      <c r="L17" s="56">
        <f>IF('TABOK ES II'!$AE$26=1,1,IF('TABOK ES II'!$AE$26=0.5,2,""))</f>
        <v>2</v>
      </c>
      <c r="M17" s="56"/>
      <c r="N17" s="50">
        <f t="shared" si="2"/>
        <v>2</v>
      </c>
      <c r="O17" s="51" t="str">
        <f t="shared" si="3"/>
        <v>Needs Improvement</v>
      </c>
      <c r="P17" s="55">
        <f>IF('TABOK ES II'!$AE$30=1,1,IF('TABOK ES II'!$AE$30=0.5,2,""))</f>
        <v>1</v>
      </c>
      <c r="Q17" s="56">
        <f>IF('TABOK ES II'!$AE$31=1,1,IF('TABOK ES II'!$AE$31=0.5,2,""))</f>
        <v>1</v>
      </c>
      <c r="R17" s="56">
        <f>IF('TABOK ES II'!$AE$32=1,1,IF('TABOK ES II'!$AE$32=0.5,2,""))</f>
        <v>2</v>
      </c>
      <c r="S17" s="56">
        <f>IF('TABOK ES II'!$AE$33=1,1,IF('TABOK ES II'!$AE$33=0.5,2,""))</f>
        <v>2</v>
      </c>
      <c r="T17" s="56"/>
      <c r="U17" s="50">
        <f t="shared" si="4"/>
        <v>1.5</v>
      </c>
      <c r="V17" s="51" t="str">
        <f t="shared" si="5"/>
        <v>Implemented</v>
      </c>
      <c r="W17" s="55">
        <f>IF('TABOK ES II'!$AE$37=1,1,IF('TABOK ES II'!$AE$37=0.5,2,""))</f>
        <v>1</v>
      </c>
      <c r="X17" s="56">
        <f>IF('TABOK ES II'!$AE$38=1,1,IF('TABOK ES II'!$AE$38=0.5,2,""))</f>
        <v>1</v>
      </c>
      <c r="Y17" s="56">
        <f>IF('TABOK ES II'!$AE$39=1,1,IF('TABOK ES II'!$AE$39=0.5,2,""))</f>
        <v>1</v>
      </c>
      <c r="Z17" s="56">
        <f>IF('TABOK ES II'!$AE$40=1,1,IF('TABOK ES II'!$AE$40=0.5,2,""))</f>
        <v>1</v>
      </c>
      <c r="AA17" s="56"/>
      <c r="AB17" s="50">
        <f t="shared" si="6"/>
        <v>1</v>
      </c>
      <c r="AC17" s="51" t="str">
        <f t="shared" si="7"/>
        <v>Fully Implemented</v>
      </c>
      <c r="AD17" s="55">
        <f>IF('TABOK ES II'!$AE$44=1,1,IF('TABOK ES II'!$AE$44=0.5,2,""))</f>
        <v>1</v>
      </c>
      <c r="AE17" s="56">
        <f>IF('TABOK ES II'!$AE$45=1,1,IF('TABOK ES II'!$AE$45=0.5,2,""))</f>
        <v>2</v>
      </c>
      <c r="AF17" s="56">
        <f>IF('TABOK ES II'!$AE$46=1,1,IF('TABOK ES II'!$AE$46=0.5,2,""))</f>
        <v>2</v>
      </c>
      <c r="AG17" s="56">
        <f>IF('TABOK ES II'!$AE$47=1,1,IF('TABOK ES II'!$AE$47=0.5,2,""))</f>
        <v>1</v>
      </c>
      <c r="AH17" s="56"/>
      <c r="AI17" s="50">
        <f t="shared" si="8"/>
        <v>1.5</v>
      </c>
      <c r="AJ17" s="51" t="str">
        <f t="shared" si="9"/>
        <v>Implemented</v>
      </c>
      <c r="AK17" s="55">
        <f>IF('TABOK ES II'!$AE$51=1,1,IF('TABOK ES II'!$AE$51=0.5,2,""))</f>
        <v>2</v>
      </c>
      <c r="AL17" s="56">
        <f>IF('TABOK ES II'!$AE$52=1,1,IF('TABOK ES II'!$AE$52=0.5,2,""))</f>
        <v>2</v>
      </c>
      <c r="AM17" s="56">
        <f>IF('TABOK ES II'!$AE$53=1,1,IF('TABOK ES II'!$AE$53=0.5,2,""))</f>
        <v>1</v>
      </c>
      <c r="AN17" s="56">
        <f>IF('TABOK ES II'!$AE$54=1,1,IF('TABOK ES II'!$AE$54=0.5,2,""))</f>
        <v>1</v>
      </c>
      <c r="AO17" s="56">
        <f>IF('TABOK ES II'!$AE$55=1,1,IF('TABOK ES II'!$AE$55=0.5,2,""))</f>
        <v>2</v>
      </c>
      <c r="AP17" s="50">
        <f t="shared" si="10"/>
        <v>1.6</v>
      </c>
      <c r="AQ17" s="51" t="str">
        <f t="shared" si="11"/>
        <v>Partially Implemented</v>
      </c>
      <c r="AR17" s="55">
        <f>IF('TABOK ES II'!$AE$58=1,1,IF('TABOK ES II'!$AE$58=0.5,2,""))</f>
        <v>1</v>
      </c>
      <c r="AS17" s="56">
        <f>IF('TABOK ES II'!$AE$59=1,1,IF('TABOK ES II'!$AE$59=0.5,2,""))</f>
        <v>2</v>
      </c>
      <c r="AT17" s="56">
        <f>IF('TABOK ES II'!$AE$60=1,1,IF('TABOK ES II'!$AE$60=0.5,2,""))</f>
        <v>1</v>
      </c>
      <c r="AU17" s="56">
        <f>IF('TABOK ES II'!$AE$61=1,1,IF('TABOK ES II'!$AE$61=0.5,2,""))</f>
        <v>2</v>
      </c>
      <c r="AV17" s="56" t="str">
        <f>IF('TABOK ES II'!$AE$62=1,1,IF('TABOK ES II'!$AE$62=0.5,2,""))</f>
        <v/>
      </c>
      <c r="AW17" s="50">
        <f t="shared" si="12"/>
        <v>1.5</v>
      </c>
      <c r="AX17" s="51" t="str">
        <f t="shared" si="13"/>
        <v>Implemented</v>
      </c>
      <c r="AY17" s="55">
        <f>IF('TABOK ES II'!$AE$65=1,1,IF('TABOK ES II'!$AE$65=0.5,2,""))</f>
        <v>1</v>
      </c>
      <c r="AZ17" s="56">
        <f>IF('TABOK ES II'!$AE$66=1,1,IF('TABOK ES II'!$AE$66=0.5,2,""))</f>
        <v>1</v>
      </c>
      <c r="BA17" s="56">
        <f>IF('TABOK ES II'!$AE$67=1,1,IF('TABOK ES II'!$AE$67=0.5,2,""))</f>
        <v>1</v>
      </c>
      <c r="BB17" s="56">
        <f>IF('TABOK ES II'!$AE$68=1,1,IF('TABOK ES II'!$AE$68=0.5,2,""))</f>
        <v>1</v>
      </c>
      <c r="BC17" s="56">
        <f>IF('TABOK ES II'!$AE$69=1,1,IF('TABOK ES II'!$AE$69=0.5,2,""))</f>
        <v>1</v>
      </c>
      <c r="BD17" s="50">
        <f t="shared" si="14"/>
        <v>1</v>
      </c>
      <c r="BE17" s="51" t="str">
        <f t="shared" si="15"/>
        <v>Fully Implemented</v>
      </c>
      <c r="BF17" s="55">
        <f>IF('TABOK ES II'!$AE$72=1,1,IF('TABOK ES II'!$AE$72=0.5,2,""))</f>
        <v>1</v>
      </c>
      <c r="BG17" s="56">
        <f>IF('TABOK ES II'!$AE$73=1,1,IF('TABOK ES II'!$AE$73=0.5,2,""))</f>
        <v>1</v>
      </c>
      <c r="BH17" s="56">
        <f>IF('TABOK ES II'!$AE$74=1,1,IF('TABOK ES II'!$AE$74=0.5,2,""))</f>
        <v>2</v>
      </c>
      <c r="BI17" s="56">
        <f>IF('TABOK ES II'!$AE$75=1,1,IF('TABOK ES II'!$AE$75=0.5,2,""))</f>
        <v>2</v>
      </c>
      <c r="BJ17" s="56" t="str">
        <f>IF('TABOK ES II'!$AE$76=1,1,IF('TABOK ES II'!$AE$76=0.5,2,""))</f>
        <v/>
      </c>
      <c r="BK17" s="50">
        <f t="shared" si="16"/>
        <v>1.5</v>
      </c>
      <c r="BL17" s="52" t="str">
        <f t="shared" si="17"/>
        <v>Implemented</v>
      </c>
      <c r="BR17" s="35"/>
      <c r="BS17" s="35"/>
      <c r="BT17" s="35"/>
      <c r="BU17" s="35"/>
      <c r="BV17" s="35"/>
      <c r="BW17" s="35"/>
      <c r="BX17" s="35"/>
      <c r="BY17" s="35"/>
      <c r="CH17" s="43">
        <v>1.76</v>
      </c>
      <c r="CI17" s="43">
        <v>2</v>
      </c>
      <c r="CJ17" s="53" t="s">
        <v>79</v>
      </c>
    </row>
    <row r="18" spans="1:88" s="43" customFormat="1" ht="27" customHeight="1" x14ac:dyDescent="0.25">
      <c r="A18" s="54" t="str">
        <f>IF('BAKILID ES'!$B$11="","",'BAKILID ES'!$B$11)</f>
        <v xml:space="preserve">BAKILID ELEMENTARY SCHOOL </v>
      </c>
      <c r="B18" s="55" t="str">
        <f>IF('BAKILID ES'!$AE$16=1,1,IF('BAKILID ES'!$AE$16=0.5,2,""))</f>
        <v/>
      </c>
      <c r="C18" s="56" t="str">
        <f>IF('BAKILID ES'!$AE$17=1,1,IF('BAKILID ES'!$AE$17=0.5,2,""))</f>
        <v/>
      </c>
      <c r="D18" s="56" t="str">
        <f>IF('BAKILID ES'!$AE$18=1,1,IF('BAKILID ES'!$AE$18=0.5,2,""))</f>
        <v/>
      </c>
      <c r="E18" s="56" t="str">
        <f>IF('BAKILID ES'!$AE$19=1,1,IF('BAKILID ES'!$AE$19=0.5,2,""))</f>
        <v/>
      </c>
      <c r="F18" s="54"/>
      <c r="G18" s="50" t="str">
        <f t="shared" si="0"/>
        <v/>
      </c>
      <c r="H18" s="51" t="str">
        <f t="shared" si="1"/>
        <v/>
      </c>
      <c r="I18" s="55" t="str">
        <f>IF('BAKILID ES'!$AE$23=1,1,IF('BAKILID ES'!$AE$23=0.5,2,""))</f>
        <v/>
      </c>
      <c r="J18" s="56" t="str">
        <f>IF('BAKILID ES'!$AE$24=1,1,IF('BAKILID ES'!$AE$24=0.5,2,""))</f>
        <v/>
      </c>
      <c r="K18" s="56" t="str">
        <f>IF('BAKILID ES'!$AE$25=1,1,IF('BAKILID ES'!$AE$25=0.5,2,""))</f>
        <v/>
      </c>
      <c r="L18" s="56" t="str">
        <f>IF('BAKILID ES'!$AE$26=1,1,IF('BAKILID ES'!$AE$26=0.5,2,""))</f>
        <v/>
      </c>
      <c r="M18" s="56"/>
      <c r="N18" s="50" t="str">
        <f t="shared" si="2"/>
        <v/>
      </c>
      <c r="O18" s="51" t="str">
        <f t="shared" si="3"/>
        <v/>
      </c>
      <c r="P18" s="55" t="str">
        <f>IF('BAKILID ES'!$AE$30=1,1,IF('BAKILID ES'!$AE$30=0.5,2,""))</f>
        <v/>
      </c>
      <c r="Q18" s="56" t="str">
        <f>IF('BAKILID ES'!$AE$31=1,1,IF('BAKILID ES'!$AE$31=0.5,2,""))</f>
        <v/>
      </c>
      <c r="R18" s="56" t="str">
        <f>IF('BAKILID ES'!$AE$32=1,1,IF('BAKILID ES'!$AE$32=0.5,2,""))</f>
        <v/>
      </c>
      <c r="S18" s="56" t="str">
        <f>IF('BAKILID ES'!$AE$33=1,1,IF('BAKILID ES'!$AE$33=0.5,2,""))</f>
        <v/>
      </c>
      <c r="T18" s="56"/>
      <c r="U18" s="50" t="str">
        <f t="shared" si="4"/>
        <v/>
      </c>
      <c r="V18" s="51" t="str">
        <f t="shared" si="5"/>
        <v/>
      </c>
      <c r="W18" s="55" t="str">
        <f>IF('BAKILID ES'!$AE$37=1,1,IF('BAKILID ES'!$AE$37=0.5,2,""))</f>
        <v/>
      </c>
      <c r="X18" s="56" t="str">
        <f>IF('BAKILID ES'!$AE$38=1,1,IF('BAKILID ES'!$AE$38=0.5,2,""))</f>
        <v/>
      </c>
      <c r="Y18" s="56" t="str">
        <f>IF('BAKILID ES'!$AE$39=1,1,IF('BAKILID ES'!$AE$39=0.5,2,""))</f>
        <v/>
      </c>
      <c r="Z18" s="56" t="str">
        <f>IF('BAKILID ES'!$AE$40=1,1,IF('BAKILID ES'!$AE$40=0.5,2,""))</f>
        <v/>
      </c>
      <c r="AA18" s="56"/>
      <c r="AB18" s="50" t="str">
        <f t="shared" si="6"/>
        <v/>
      </c>
      <c r="AC18" s="51" t="str">
        <f t="shared" si="7"/>
        <v/>
      </c>
      <c r="AD18" s="55" t="str">
        <f>IF('BAKILID ES'!$AE$44=1,1,IF('BAKILID ES'!$AE$44=0.5,2,""))</f>
        <v/>
      </c>
      <c r="AE18" s="56" t="str">
        <f>IF('BAKILID ES'!$AE$45=1,1,IF('BAKILID ES'!$AE$45=0.5,2,""))</f>
        <v/>
      </c>
      <c r="AF18" s="56" t="str">
        <f>IF('BAKILID ES'!$AE$46=1,1,IF('BAKILID ES'!$AE$46=0.5,2,""))</f>
        <v/>
      </c>
      <c r="AG18" s="56" t="str">
        <f>IF('BAKILID ES'!$AE$47=1,1,IF('BAKILID ES'!$AE$47=0.5,2,""))</f>
        <v/>
      </c>
      <c r="AH18" s="56"/>
      <c r="AI18" s="50" t="str">
        <f t="shared" si="8"/>
        <v/>
      </c>
      <c r="AJ18" s="51" t="str">
        <f t="shared" si="9"/>
        <v/>
      </c>
      <c r="AK18" s="55" t="str">
        <f>IF('BAKILID ES'!$AE$51=1,1,IF('BAKILID ES'!$AE$51=0.5,2,""))</f>
        <v/>
      </c>
      <c r="AL18" s="56" t="str">
        <f>IF('BAKILID ES'!$AE$52=1,1,IF('BAKILID ES'!$AE$52=0.5,2,""))</f>
        <v/>
      </c>
      <c r="AM18" s="56" t="str">
        <f>IF('BAKILID ES'!$AE$53=1,1,IF('BAKILID ES'!$AE$53=0.5,2,""))</f>
        <v/>
      </c>
      <c r="AN18" s="56" t="str">
        <f>IF('BAKILID ES'!$AE$54=1,1,IF('BAKILID ES'!$AE$54=0.5,2,""))</f>
        <v/>
      </c>
      <c r="AO18" s="56" t="str">
        <f>IF('BAKILID ES'!$AE$55=1,1,IF('BAKILID ES'!$AE$55=0.5,2,""))</f>
        <v/>
      </c>
      <c r="AP18" s="50" t="str">
        <f t="shared" si="10"/>
        <v/>
      </c>
      <c r="AQ18" s="51" t="str">
        <f t="shared" si="11"/>
        <v/>
      </c>
      <c r="AR18" s="55" t="str">
        <f>IF('BAKILID ES'!$AE$58=1,1,IF('BAKILID ES'!$AE$58=0.5,2,""))</f>
        <v/>
      </c>
      <c r="AS18" s="56" t="str">
        <f>IF('BAKILID ES'!$AE$59=1,1,IF('BAKILID ES'!$AE$59=0.5,2,""))</f>
        <v/>
      </c>
      <c r="AT18" s="56" t="str">
        <f>IF('BAKILID ES'!$AE$60=1,1,IF('BAKILID ES'!$AE$60=0.5,2,""))</f>
        <v/>
      </c>
      <c r="AU18" s="56" t="str">
        <f>IF('BAKILID ES'!$AE$61=1,1,IF('BAKILID ES'!$AE$61=0.5,2,""))</f>
        <v/>
      </c>
      <c r="AV18" s="56" t="str">
        <f>IF('BAKILID ES'!$AE$62=1,1,IF('BAKILID ES'!$AE$62=0.5,2,""))</f>
        <v/>
      </c>
      <c r="AW18" s="50" t="str">
        <f t="shared" si="12"/>
        <v/>
      </c>
      <c r="AX18" s="51" t="str">
        <f t="shared" si="13"/>
        <v/>
      </c>
      <c r="AY18" s="55" t="str">
        <f>IF('BAKILID ES'!$AE$65=1,1,IF('BAKILID ES'!$AE$65=0.5,2,""))</f>
        <v/>
      </c>
      <c r="AZ18" s="56" t="str">
        <f>IF('BAKILID ES'!$AE$66=1,1,IF('BAKILID ES'!$AE$66=0.5,2,""))</f>
        <v/>
      </c>
      <c r="BA18" s="56" t="str">
        <f>IF('BAKILID ES'!$AE$67=1,1,IF('BAKILID ES'!$AE$67=0.5,2,""))</f>
        <v/>
      </c>
      <c r="BB18" s="56" t="str">
        <f>IF('BAKILID ES'!$AE$68=1,1,IF('BAKILID ES'!$AE$68=0.5,2,""))</f>
        <v/>
      </c>
      <c r="BC18" s="56" t="str">
        <f>IF('BAKILID ES'!$AE$69=1,1,IF('BAKILID ES'!$AE$69=0.5,2,""))</f>
        <v/>
      </c>
      <c r="BD18" s="50" t="str">
        <f t="shared" si="14"/>
        <v/>
      </c>
      <c r="BE18" s="51" t="str">
        <f t="shared" si="15"/>
        <v/>
      </c>
      <c r="BF18" s="55" t="str">
        <f>IF('BAKILID ES'!$AE$72=1,1,IF('BAKILID ES'!$AE$72=0.5,2,""))</f>
        <v/>
      </c>
      <c r="BG18" s="56" t="str">
        <f>IF('BAKILID ES'!$AE$73=1,1,IF('BAKILID ES'!$AE$73=0.5,2,""))</f>
        <v/>
      </c>
      <c r="BH18" s="56" t="str">
        <f>IF('BAKILID ES'!$AE$74=1,1,IF('BAKILID ES'!$AE$74=0.5,2,""))</f>
        <v/>
      </c>
      <c r="BI18" s="56" t="str">
        <f>IF('BAKILID ES'!$AE$75=1,1,IF('BAKILID ES'!$AE$75=0.5,2,""))</f>
        <v/>
      </c>
      <c r="BJ18" s="56" t="str">
        <f>IF('BAKILID ES'!$AE$76=1,1,IF('BAKILID ES'!$AE$76=0.5,2,""))</f>
        <v/>
      </c>
      <c r="BK18" s="50" t="str">
        <f t="shared" si="16"/>
        <v/>
      </c>
      <c r="BL18" s="52" t="str">
        <f t="shared" si="17"/>
        <v/>
      </c>
      <c r="BR18" s="35"/>
      <c r="BS18" s="35"/>
      <c r="BT18" s="35"/>
      <c r="BU18" s="35"/>
      <c r="BV18" s="35"/>
      <c r="BW18" s="35"/>
      <c r="BX18" s="35"/>
      <c r="BY18" s="35"/>
    </row>
    <row r="19" spans="1:88" s="43" customFormat="1" ht="27" customHeight="1" thickBot="1" x14ac:dyDescent="0.3">
      <c r="A19" s="57" t="str">
        <f>IF('TINGUB ES'!$B$11="","",'TINGUB ES'!$B$11)</f>
        <v>TINGUB ELEMENTARY SCHOOL</v>
      </c>
      <c r="B19" s="58" t="str">
        <f>IF('TINGUB ES'!$AE$16=1,1,IF('TINGUB ES'!$AE$16=0.5,2,""))</f>
        <v/>
      </c>
      <c r="C19" s="59" t="str">
        <f>IF('TINGUB ES'!$AE$17=1,1,IF('TINGUB ES'!$AE$17=0.5,2,""))</f>
        <v/>
      </c>
      <c r="D19" s="59" t="str">
        <f>IF('TINGUB ES'!$AE$18=1,1,IF('TINGUB ES'!$AE$18=0.5,2,""))</f>
        <v/>
      </c>
      <c r="E19" s="59" t="str">
        <f>IF('TINGUB ES'!$AE$19=1,1,IF('TINGUB ES'!$AE$19=0.5,2,""))</f>
        <v/>
      </c>
      <c r="F19" s="57"/>
      <c r="G19" s="50" t="str">
        <f t="shared" si="0"/>
        <v/>
      </c>
      <c r="H19" s="60" t="str">
        <f t="shared" si="1"/>
        <v/>
      </c>
      <c r="I19" s="58" t="str">
        <f>IF('TINGUB ES'!$AE$23=1,1,IF('TINGUB ES'!$AE$23=0.5,2,""))</f>
        <v/>
      </c>
      <c r="J19" s="59" t="str">
        <f>IF('TINGUB ES'!$AE$24=1,1,IF('TINGUB ES'!$AE$24=0.5,2,""))</f>
        <v/>
      </c>
      <c r="K19" s="59" t="str">
        <f>IF('TINGUB ES'!$AE$25=1,1,IF('TINGUB ES'!$AE$25=0.5,2,""))</f>
        <v/>
      </c>
      <c r="L19" s="59" t="str">
        <f>IF('TINGUB ES'!$AE$26=1,1,IF('TINGUB ES'!$AE$26=0.5,2,""))</f>
        <v/>
      </c>
      <c r="M19" s="59"/>
      <c r="N19" s="50" t="str">
        <f t="shared" si="2"/>
        <v/>
      </c>
      <c r="O19" s="60" t="str">
        <f t="shared" si="3"/>
        <v/>
      </c>
      <c r="P19" s="58" t="str">
        <f>IF('TINGUB ES'!$AE$30=1,1,IF('TINGUB ES'!$AE$30=0.5,2,""))</f>
        <v/>
      </c>
      <c r="Q19" s="59" t="str">
        <f>IF('TINGUB ES'!$AE$31=1,1,IF('TINGUB ES'!$AE$31=0.5,2,""))</f>
        <v/>
      </c>
      <c r="R19" s="59" t="str">
        <f>IF('TINGUB ES'!$AE$32=1,1,IF('TINGUB ES'!$AE$32=0.5,2,""))</f>
        <v/>
      </c>
      <c r="S19" s="59" t="str">
        <f>IF('TINGUB ES'!$AE$33=1,1,IF('TINGUB ES'!$AE$33=0.5,2,""))</f>
        <v/>
      </c>
      <c r="T19" s="59"/>
      <c r="U19" s="50" t="str">
        <f t="shared" si="4"/>
        <v/>
      </c>
      <c r="V19" s="60" t="str">
        <f t="shared" si="5"/>
        <v/>
      </c>
      <c r="W19" s="58" t="str">
        <f>IF('TINGUB ES'!$AE$37=1,1,IF('TINGUB ES'!$AE$37=0.5,2,""))</f>
        <v/>
      </c>
      <c r="X19" s="59" t="str">
        <f>IF('TINGUB ES'!$AE$38=1,1,IF('TINGUB ES'!$AE$38=0.5,2,""))</f>
        <v/>
      </c>
      <c r="Y19" s="59" t="str">
        <f>IF('TINGUB ES'!$AE$39=1,1,IF('TINGUB ES'!$AE$39=0.5,2,""))</f>
        <v/>
      </c>
      <c r="Z19" s="59" t="str">
        <f>IF('TINGUB ES'!$AE$40=1,1,IF('TINGUB ES'!$AE$40=0.5,2,""))</f>
        <v/>
      </c>
      <c r="AA19" s="59"/>
      <c r="AB19" s="50" t="str">
        <f t="shared" si="6"/>
        <v/>
      </c>
      <c r="AC19" s="60" t="str">
        <f t="shared" si="7"/>
        <v/>
      </c>
      <c r="AD19" s="58" t="str">
        <f>IF('TINGUB ES'!$AE$44=1,1,IF('TINGUB ES'!$AE$44=0.5,2,""))</f>
        <v/>
      </c>
      <c r="AE19" s="59" t="str">
        <f>IF('TINGUB ES'!$AE$45=1,1,IF('TINGUB ES'!$AE$45=0.5,2,""))</f>
        <v/>
      </c>
      <c r="AF19" s="59" t="str">
        <f>IF('TINGUB ES'!$AE$46=1,1,IF('TINGUB ES'!$AE$46=0.5,2,""))</f>
        <v/>
      </c>
      <c r="AG19" s="59" t="str">
        <f>IF('TINGUB ES'!$AE$47=1,1,IF('TINGUB ES'!$AE$47=0.5,2,""))</f>
        <v/>
      </c>
      <c r="AH19" s="59"/>
      <c r="AI19" s="50" t="str">
        <f t="shared" si="8"/>
        <v/>
      </c>
      <c r="AJ19" s="60" t="str">
        <f t="shared" si="9"/>
        <v/>
      </c>
      <c r="AK19" s="58" t="str">
        <f>IF('TINGUB ES'!$AE$51=1,1,IF('TINGUB ES'!$AE$51=0.5,2,""))</f>
        <v/>
      </c>
      <c r="AL19" s="59" t="str">
        <f>IF('TINGUB ES'!$AE$52=1,1,IF('TINGUB ES'!$AE$52=0.5,2,""))</f>
        <v/>
      </c>
      <c r="AM19" s="59" t="str">
        <f>IF('TINGUB ES'!$AE$53=1,1,IF('TINGUB ES'!$AE$53=0.5,2,""))</f>
        <v/>
      </c>
      <c r="AN19" s="59" t="str">
        <f>IF('TINGUB ES'!$AE$54=1,1,IF('TINGUB ES'!$AE$54=0.5,2,""))</f>
        <v/>
      </c>
      <c r="AO19" s="59" t="str">
        <f>IF('TINGUB ES'!$AE$55=1,1,IF('TINGUB ES'!$AE$55=0.5,2,""))</f>
        <v/>
      </c>
      <c r="AP19" s="50" t="str">
        <f t="shared" si="10"/>
        <v/>
      </c>
      <c r="AQ19" s="60" t="str">
        <f t="shared" si="11"/>
        <v/>
      </c>
      <c r="AR19" s="58" t="str">
        <f>IF('TINGUB ES'!$AE$58=1,1,IF('TINGUB ES'!$AE$58=0.5,2,""))</f>
        <v/>
      </c>
      <c r="AS19" s="59" t="str">
        <f>IF('TINGUB ES'!$AE$59=1,1,IF('TINGUB ES'!$AE$59=0.5,2,""))</f>
        <v/>
      </c>
      <c r="AT19" s="59" t="str">
        <f>IF('TINGUB ES'!$AE$60=1,1,IF('TINGUB ES'!$AE$60=0.5,2,""))</f>
        <v/>
      </c>
      <c r="AU19" s="59" t="str">
        <f>IF('TINGUB ES'!$AE$61=1,1,IF('TINGUB ES'!$AE$61=0.5,2,""))</f>
        <v/>
      </c>
      <c r="AV19" s="59" t="str">
        <f>IF('TINGUB ES'!$AE$62=1,1,IF('TINGUB ES'!$AE$62=0.5,2,""))</f>
        <v/>
      </c>
      <c r="AW19" s="50" t="str">
        <f t="shared" si="12"/>
        <v/>
      </c>
      <c r="AX19" s="60" t="str">
        <f t="shared" si="13"/>
        <v/>
      </c>
      <c r="AY19" s="58" t="str">
        <f>IF('TINGUB ES'!$AE$65=1,1,IF('TINGUB ES'!$AE$65=0.5,2,""))</f>
        <v/>
      </c>
      <c r="AZ19" s="59" t="str">
        <f>IF('TINGUB ES'!$AE$66=1,1,IF('TINGUB ES'!$AE$66=0.5,2,""))</f>
        <v/>
      </c>
      <c r="BA19" s="59" t="str">
        <f>IF('TINGUB ES'!$AE$67=1,1,IF('TINGUB ES'!$AE$67=0.5,2,""))</f>
        <v/>
      </c>
      <c r="BB19" s="59" t="str">
        <f>IF('TINGUB ES'!$AE$68=1,1,IF('TINGUB ES'!$AE$68=0.5,2,""))</f>
        <v/>
      </c>
      <c r="BC19" s="59" t="str">
        <f>IF('TINGUB ES'!$AE$69=1,1,IF('TINGUB ES'!$AE$69=0.5,2,""))</f>
        <v/>
      </c>
      <c r="BD19" s="50" t="str">
        <f t="shared" si="14"/>
        <v/>
      </c>
      <c r="BE19" s="60" t="str">
        <f t="shared" si="15"/>
        <v/>
      </c>
      <c r="BF19" s="58" t="str">
        <f>IF('TINGUB ES'!$AE$72=1,1,IF('TINGUB ES'!$AE$72=0.5,2,""))</f>
        <v/>
      </c>
      <c r="BG19" s="59" t="str">
        <f>IF('TINGUB ES'!$AE$73=1,1,IF('TINGUB ES'!$AE$73=0.5,2,""))</f>
        <v/>
      </c>
      <c r="BH19" s="59" t="str">
        <f>IF('TINGUB ES'!$AE$74=1,1,IF('TINGUB ES'!$AE$74=0.5,2,""))</f>
        <v/>
      </c>
      <c r="BI19" s="59" t="str">
        <f>IF('TINGUB ES'!$AE$75=1,1,IF('TINGUB ES'!$AE$75=0.5,2,""))</f>
        <v/>
      </c>
      <c r="BJ19" s="59" t="str">
        <f>IF('TINGUB ES'!$AE$76=1,1,IF('TINGUB ES'!$AE$76=0.5,2,""))</f>
        <v/>
      </c>
      <c r="BK19" s="50" t="str">
        <f t="shared" si="16"/>
        <v/>
      </c>
      <c r="BL19" s="61" t="str">
        <f t="shared" si="17"/>
        <v/>
      </c>
      <c r="BR19" s="35"/>
      <c r="BS19" s="35"/>
      <c r="BT19" s="35"/>
      <c r="BU19" s="35"/>
      <c r="BV19" s="35"/>
      <c r="BW19" s="35"/>
      <c r="BX19" s="35"/>
      <c r="BY19" s="35"/>
    </row>
    <row r="20" spans="1:88" s="43" customFormat="1" ht="27" customHeight="1" thickBot="1" x14ac:dyDescent="0.3">
      <c r="A20" s="62" t="s">
        <v>74</v>
      </c>
      <c r="B20" s="63">
        <f>IFERROR(ROUND(AVERAGE(B14:B19),2), "")</f>
        <v>1.5</v>
      </c>
      <c r="C20" s="64">
        <f t="shared" ref="C20:N20" si="18">IFERROR(ROUND(AVERAGE(C14:C19),2), "")</f>
        <v>1</v>
      </c>
      <c r="D20" s="64">
        <f t="shared" si="18"/>
        <v>1</v>
      </c>
      <c r="E20" s="64">
        <f t="shared" si="18"/>
        <v>1</v>
      </c>
      <c r="F20" s="65" t="str">
        <f t="shared" si="18"/>
        <v/>
      </c>
      <c r="G20" s="66">
        <f t="shared" si="18"/>
        <v>1.1299999999999999</v>
      </c>
      <c r="H20" s="67" t="str">
        <f t="shared" si="1"/>
        <v>Fully Implemented</v>
      </c>
      <c r="I20" s="63">
        <f t="shared" si="18"/>
        <v>2</v>
      </c>
      <c r="J20" s="64">
        <f t="shared" si="18"/>
        <v>2</v>
      </c>
      <c r="K20" s="64">
        <f t="shared" si="18"/>
        <v>2</v>
      </c>
      <c r="L20" s="64">
        <f t="shared" si="18"/>
        <v>2</v>
      </c>
      <c r="M20" s="64" t="str">
        <f t="shared" si="18"/>
        <v/>
      </c>
      <c r="N20" s="66">
        <f t="shared" si="18"/>
        <v>2</v>
      </c>
      <c r="O20" s="67" t="str">
        <f t="shared" si="3"/>
        <v>Needs Improvement</v>
      </c>
      <c r="P20" s="63">
        <f t="shared" ref="P20" si="19">IFERROR(ROUND(AVERAGE(P14:P19),2), "")</f>
        <v>1</v>
      </c>
      <c r="Q20" s="64">
        <f t="shared" ref="Q20" si="20">IFERROR(ROUND(AVERAGE(Q14:Q19),2), "")</f>
        <v>1</v>
      </c>
      <c r="R20" s="64">
        <f t="shared" ref="R20" si="21">IFERROR(ROUND(AVERAGE(R14:R19),2), "")</f>
        <v>1.5</v>
      </c>
      <c r="S20" s="64">
        <f t="shared" ref="S20" si="22">IFERROR(ROUND(AVERAGE(S14:S19),2), "")</f>
        <v>1.5</v>
      </c>
      <c r="T20" s="64" t="str">
        <f t="shared" ref="T20:U20" si="23">IFERROR(ROUND(AVERAGE(T14:T19),2), "")</f>
        <v/>
      </c>
      <c r="U20" s="66">
        <f t="shared" si="23"/>
        <v>1.25</v>
      </c>
      <c r="V20" s="67" t="str">
        <f t="shared" si="5"/>
        <v>Fully Implemented</v>
      </c>
      <c r="W20" s="63">
        <f t="shared" ref="W20" si="24">IFERROR(ROUND(AVERAGE(W14:W19),2), "")</f>
        <v>1.5</v>
      </c>
      <c r="X20" s="64">
        <f t="shared" ref="X20:Y20" si="25">IFERROR(ROUND(AVERAGE(X14:X19),2), "")</f>
        <v>1</v>
      </c>
      <c r="Y20" s="64">
        <f t="shared" si="25"/>
        <v>1</v>
      </c>
      <c r="Z20" s="64">
        <f t="shared" ref="Z20" si="26">IFERROR(ROUND(AVERAGE(Z14:Z19),2), "")</f>
        <v>1</v>
      </c>
      <c r="AA20" s="64" t="str">
        <f t="shared" ref="AA20:AB20" si="27">IFERROR(ROUND(AVERAGE(AA14:AA19),2), "")</f>
        <v/>
      </c>
      <c r="AB20" s="66">
        <f t="shared" si="27"/>
        <v>1.1299999999999999</v>
      </c>
      <c r="AC20" s="67" t="str">
        <f t="shared" si="7"/>
        <v>Fully Implemented</v>
      </c>
      <c r="AD20" s="63">
        <f t="shared" ref="AD20" si="28">IFERROR(ROUND(AVERAGE(AD14:AD19),2), "")</f>
        <v>1.5</v>
      </c>
      <c r="AE20" s="64">
        <f t="shared" ref="AE20" si="29">IFERROR(ROUND(AVERAGE(AE14:AE19),2), "")</f>
        <v>2</v>
      </c>
      <c r="AF20" s="64">
        <f t="shared" ref="AF20" si="30">IFERROR(ROUND(AVERAGE(AF14:AF19),2), "")</f>
        <v>1.5</v>
      </c>
      <c r="AG20" s="64">
        <f t="shared" ref="AG20" si="31">IFERROR(ROUND(AVERAGE(AG14:AG19),2), "")</f>
        <v>1.5</v>
      </c>
      <c r="AH20" s="64" t="str">
        <f t="shared" ref="AH20:AI20" si="32">IFERROR(ROUND(AVERAGE(AH14:AH19),2), "")</f>
        <v/>
      </c>
      <c r="AI20" s="66">
        <f t="shared" si="32"/>
        <v>1.63</v>
      </c>
      <c r="AJ20" s="67" t="str">
        <f t="shared" si="9"/>
        <v>Partially Implemented</v>
      </c>
      <c r="AK20" s="63">
        <f t="shared" ref="AK20" si="33">IFERROR(ROUND(AVERAGE(AK14:AK19),2), "")</f>
        <v>1.5</v>
      </c>
      <c r="AL20" s="64">
        <f t="shared" ref="AL20" si="34">IFERROR(ROUND(AVERAGE(AL14:AL19),2), "")</f>
        <v>1.5</v>
      </c>
      <c r="AM20" s="64">
        <f t="shared" ref="AM20" si="35">IFERROR(ROUND(AVERAGE(AM14:AM19),2), "")</f>
        <v>1</v>
      </c>
      <c r="AN20" s="64">
        <f>IFERROR(ROUND(AVERAGE(AN14:AN19),2), "")</f>
        <v>1</v>
      </c>
      <c r="AO20" s="64">
        <f t="shared" ref="AO20:AP20" si="36">IFERROR(ROUND(AVERAGE(AO14:AO19),2), "")</f>
        <v>1.5</v>
      </c>
      <c r="AP20" s="66">
        <f t="shared" si="36"/>
        <v>1.3</v>
      </c>
      <c r="AQ20" s="67" t="str">
        <f t="shared" si="11"/>
        <v>Implemented</v>
      </c>
      <c r="AR20" s="63">
        <f t="shared" ref="AR20" si="37">IFERROR(ROUND(AVERAGE(AR14:AR19),2), "")</f>
        <v>1</v>
      </c>
      <c r="AS20" s="64">
        <f t="shared" ref="AS20" si="38">IFERROR(ROUND(AVERAGE(AS14:AS19),2), "")</f>
        <v>1.5</v>
      </c>
      <c r="AT20" s="64">
        <f t="shared" ref="AT20" si="39">IFERROR(ROUND(AVERAGE(AT14:AT19),2), "")</f>
        <v>1</v>
      </c>
      <c r="AU20" s="64">
        <f t="shared" ref="AU20" si="40">IFERROR(ROUND(AVERAGE(AU14:AU19),2), "")</f>
        <v>1.5</v>
      </c>
      <c r="AV20" s="64" t="str">
        <f t="shared" ref="AV20:AW20" si="41">IFERROR(ROUND(AVERAGE(AV14:AV19),2), "")</f>
        <v/>
      </c>
      <c r="AW20" s="66">
        <f t="shared" si="41"/>
        <v>1.25</v>
      </c>
      <c r="AX20" s="67" t="str">
        <f t="shared" si="13"/>
        <v>Fully Implemented</v>
      </c>
      <c r="AY20" s="63">
        <f t="shared" ref="AY20" si="42">IFERROR(ROUND(AVERAGE(AY14:AY19),2), "")</f>
        <v>1</v>
      </c>
      <c r="AZ20" s="64">
        <f t="shared" ref="AZ20" si="43">IFERROR(ROUND(AVERAGE(AZ14:AZ19),2), "")</f>
        <v>1</v>
      </c>
      <c r="BA20" s="64">
        <f t="shared" ref="BA20" si="44">IFERROR(ROUND(AVERAGE(BA14:BA19),2), "")</f>
        <v>1</v>
      </c>
      <c r="BB20" s="64">
        <f>IFERROR(ROUND(AVERAGE(BB14:BB19),2), "")</f>
        <v>1</v>
      </c>
      <c r="BC20" s="64">
        <f t="shared" ref="BC20:BD20" si="45">IFERROR(ROUND(AVERAGE(BC14:BC19),2), "")</f>
        <v>1</v>
      </c>
      <c r="BD20" s="66">
        <f t="shared" si="45"/>
        <v>1</v>
      </c>
      <c r="BE20" s="67" t="str">
        <f t="shared" si="15"/>
        <v>Fully Implemented</v>
      </c>
      <c r="BF20" s="63">
        <f t="shared" ref="BF20" si="46">IFERROR(ROUND(AVERAGE(BF14:BF19),2), "")</f>
        <v>1</v>
      </c>
      <c r="BG20" s="64">
        <f t="shared" ref="BG20" si="47">IFERROR(ROUND(AVERAGE(BG14:BG19),2), "")</f>
        <v>1</v>
      </c>
      <c r="BH20" s="64">
        <f t="shared" ref="BH20" si="48">IFERROR(ROUND(AVERAGE(BH14:BH19),2), "")</f>
        <v>1.5</v>
      </c>
      <c r="BI20" s="64">
        <f t="shared" ref="BI20" si="49">IFERROR(ROUND(AVERAGE(BI14:BI19),2), "")</f>
        <v>1.5</v>
      </c>
      <c r="BJ20" s="64" t="str">
        <f t="shared" ref="BJ20:BK20" si="50">IFERROR(ROUND(AVERAGE(BJ14:BJ19),2), "")</f>
        <v/>
      </c>
      <c r="BK20" s="66">
        <f t="shared" si="50"/>
        <v>1.25</v>
      </c>
      <c r="BL20" s="67" t="str">
        <f t="shared" si="17"/>
        <v>Fully Implemented</v>
      </c>
      <c r="BR20" s="35"/>
      <c r="BS20" s="35"/>
      <c r="BT20" s="35"/>
      <c r="BU20" s="35"/>
      <c r="BV20" s="35"/>
      <c r="BW20" s="35"/>
      <c r="BX20" s="35"/>
      <c r="BY20" s="35"/>
    </row>
    <row r="22" spans="1:88" x14ac:dyDescent="0.25">
      <c r="A22" s="19" t="s">
        <v>62</v>
      </c>
      <c r="B22" s="19"/>
      <c r="I22" s="19"/>
      <c r="P22" s="19"/>
      <c r="W22" s="19"/>
      <c r="AD22" s="19"/>
      <c r="AK22" s="19"/>
      <c r="AR22" s="19"/>
      <c r="AY22" s="19"/>
      <c r="BF22" s="19"/>
    </row>
    <row r="24" spans="1:88" ht="13.8" x14ac:dyDescent="0.25">
      <c r="A24" s="74" t="s">
        <v>72</v>
      </c>
      <c r="B24" s="74"/>
      <c r="C24" s="74"/>
      <c r="D24" s="74"/>
      <c r="I24" s="21"/>
      <c r="J24" s="74"/>
      <c r="K24" s="74"/>
      <c r="P24" s="21"/>
      <c r="Q24" s="74"/>
      <c r="R24" s="74"/>
      <c r="W24" s="21"/>
      <c r="X24" s="74"/>
      <c r="Y24" s="74"/>
      <c r="AD24" s="21"/>
      <c r="AE24" s="74"/>
      <c r="AF24" s="74"/>
      <c r="AK24" s="21"/>
      <c r="AL24" s="74"/>
      <c r="AM24" s="74"/>
      <c r="AR24" s="21"/>
      <c r="AS24" s="74"/>
      <c r="AT24" s="74"/>
      <c r="AY24" s="21"/>
      <c r="AZ24" s="74"/>
      <c r="BA24" s="74"/>
      <c r="BF24" s="21"/>
      <c r="BG24" s="74"/>
      <c r="BH24" s="74"/>
    </row>
    <row r="25" spans="1:88" x14ac:dyDescent="0.25">
      <c r="A25" s="75" t="s">
        <v>73</v>
      </c>
      <c r="B25" s="75"/>
      <c r="C25" s="75"/>
      <c r="D25" s="75"/>
      <c r="J25" s="75"/>
      <c r="K25" s="75"/>
      <c r="Q25" s="75"/>
      <c r="R25" s="75"/>
      <c r="X25" s="75"/>
      <c r="Y25" s="75"/>
      <c r="AE25" s="75"/>
      <c r="AF25" s="75"/>
      <c r="AL25" s="75"/>
      <c r="AM25" s="75"/>
      <c r="AS25" s="75"/>
      <c r="AT25" s="75"/>
      <c r="AZ25" s="75"/>
      <c r="BA25" s="75"/>
      <c r="BG25" s="75"/>
      <c r="BH25" s="75"/>
    </row>
    <row r="28" spans="1:88" ht="13.8" x14ac:dyDescent="0.25">
      <c r="C28" s="74"/>
      <c r="D28" s="74"/>
      <c r="J28" s="74"/>
      <c r="K28" s="74"/>
      <c r="Q28" s="74"/>
      <c r="R28" s="74"/>
      <c r="X28" s="74"/>
      <c r="Y28" s="74"/>
      <c r="AE28" s="74"/>
      <c r="AF28" s="74"/>
      <c r="AL28" s="74"/>
      <c r="AM28" s="74"/>
      <c r="AS28" s="74"/>
      <c r="AT28" s="74"/>
      <c r="AZ28" s="74"/>
      <c r="BA28" s="74"/>
      <c r="BG28" s="74"/>
      <c r="BH28" s="74"/>
    </row>
    <row r="29" spans="1:88" x14ac:dyDescent="0.25">
      <c r="C29" s="75"/>
      <c r="D29" s="75"/>
      <c r="J29" s="75"/>
      <c r="K29" s="75"/>
      <c r="Q29" s="75"/>
      <c r="R29" s="75"/>
      <c r="X29" s="75"/>
      <c r="Y29" s="75"/>
      <c r="AE29" s="75"/>
      <c r="AF29" s="75"/>
      <c r="AL29" s="75"/>
      <c r="AM29" s="75"/>
      <c r="AS29" s="75"/>
      <c r="AT29" s="75"/>
      <c r="AZ29" s="75"/>
      <c r="BA29" s="75"/>
      <c r="BG29" s="75"/>
      <c r="BH29" s="75"/>
    </row>
  </sheetData>
  <sheetProtection formatCells="0" formatColumns="0" formatRows="0"/>
  <mergeCells count="69">
    <mergeCell ref="A12:A13"/>
    <mergeCell ref="A24:D24"/>
    <mergeCell ref="A25:D25"/>
    <mergeCell ref="A7:D7"/>
    <mergeCell ref="A5:AA5"/>
    <mergeCell ref="A6:AA6"/>
    <mergeCell ref="A8:AA8"/>
    <mergeCell ref="A10:AA10"/>
    <mergeCell ref="N12:N13"/>
    <mergeCell ref="U12:U13"/>
    <mergeCell ref="Q24:R24"/>
    <mergeCell ref="Q25:R25"/>
    <mergeCell ref="W12:Z12"/>
    <mergeCell ref="J29:K29"/>
    <mergeCell ref="C28:D28"/>
    <mergeCell ref="C29:D29"/>
    <mergeCell ref="G12:G13"/>
    <mergeCell ref="B12:E12"/>
    <mergeCell ref="I12:L12"/>
    <mergeCell ref="J24:K24"/>
    <mergeCell ref="J25:K25"/>
    <mergeCell ref="J28:K28"/>
    <mergeCell ref="Q28:R28"/>
    <mergeCell ref="Q29:R29"/>
    <mergeCell ref="AE24:AF24"/>
    <mergeCell ref="AE25:AF25"/>
    <mergeCell ref="AE28:AF28"/>
    <mergeCell ref="AE29:AF29"/>
    <mergeCell ref="AB12:AB13"/>
    <mergeCell ref="X24:Y24"/>
    <mergeCell ref="X25:Y25"/>
    <mergeCell ref="X28:Y28"/>
    <mergeCell ref="X29:Y29"/>
    <mergeCell ref="AS24:AT24"/>
    <mergeCell ref="AS25:AT25"/>
    <mergeCell ref="AS28:AT28"/>
    <mergeCell ref="AS29:AT29"/>
    <mergeCell ref="AK12:AN12"/>
    <mergeCell ref="AP12:AP13"/>
    <mergeCell ref="AL24:AM24"/>
    <mergeCell ref="AL25:AM25"/>
    <mergeCell ref="AL28:AM28"/>
    <mergeCell ref="AL29:AM29"/>
    <mergeCell ref="BG24:BH24"/>
    <mergeCell ref="BG25:BH25"/>
    <mergeCell ref="BG28:BH28"/>
    <mergeCell ref="BG29:BH29"/>
    <mergeCell ref="AY12:BB12"/>
    <mergeCell ref="BD12:BD13"/>
    <mergeCell ref="AZ24:BA24"/>
    <mergeCell ref="AZ25:BA25"/>
    <mergeCell ref="AZ28:BA28"/>
    <mergeCell ref="AZ29:BA29"/>
    <mergeCell ref="AX12:AX13"/>
    <mergeCell ref="BE12:BE13"/>
    <mergeCell ref="BL12:BL13"/>
    <mergeCell ref="H12:H13"/>
    <mergeCell ref="O12:O13"/>
    <mergeCell ref="V12:V13"/>
    <mergeCell ref="AC12:AC13"/>
    <mergeCell ref="AJ12:AJ13"/>
    <mergeCell ref="AQ12:AQ13"/>
    <mergeCell ref="BF12:BI12"/>
    <mergeCell ref="BK12:BK13"/>
    <mergeCell ref="AR12:AU12"/>
    <mergeCell ref="AW12:AW13"/>
    <mergeCell ref="AD12:AG12"/>
    <mergeCell ref="AI12:AI13"/>
    <mergeCell ref="P12:S12"/>
  </mergeCells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MAGUIKAY ES</vt:lpstr>
      <vt:lpstr>CABANCALAN I ES</vt:lpstr>
      <vt:lpstr>TABOK ES 1</vt:lpstr>
      <vt:lpstr>TABOK ES II</vt:lpstr>
      <vt:lpstr>BAKILID ES</vt:lpstr>
      <vt:lpstr>TINGUB ES</vt:lpstr>
      <vt:lpstr>SUMMARY</vt:lpstr>
      <vt:lpstr>'BAKILID ES'!Print_Area</vt:lpstr>
      <vt:lpstr>'CABANCALAN I ES'!Print_Area</vt:lpstr>
      <vt:lpstr>'MAGUIKAY ES'!Print_Area</vt:lpstr>
      <vt:lpstr>SUMMARY!Print_Area</vt:lpstr>
      <vt:lpstr>'TABOK ES 1'!Print_Area</vt:lpstr>
      <vt:lpstr>'TABOK ES II'!Print_Area</vt:lpstr>
      <vt:lpstr>'TINGUB 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VEN JUNE SADANA</cp:lastModifiedBy>
  <cp:lastPrinted>2026-05-18T23:54:54Z</cp:lastPrinted>
  <dcterms:created xsi:type="dcterms:W3CDTF">2026-05-13T23:30:51Z</dcterms:created>
  <dcterms:modified xsi:type="dcterms:W3CDTF">2026-10-28T01:32:14Z</dcterms:modified>
</cp:coreProperties>
</file>