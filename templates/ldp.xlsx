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drawings/drawing2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drawings/drawing3.xml" ContentType="application/vnd.openxmlformats-officedocument.drawing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drawings/drawing4.xml" ContentType="application/vnd.openxmlformats-officedocument.drawing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drawings/drawing5.xml" ContentType="application/vnd.openxmlformats-officedocument.drawing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drawings/drawing6.xml" ContentType="application/vnd.openxmlformats-officedocument.drawing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Department of Education\Desktop\MONITORING CHECKLISTS 1-7\"/>
    </mc:Choice>
  </mc:AlternateContent>
  <xr:revisionPtr revIDLastSave="2" documentId="13_ncr:1_{53EBCE42-CCB1-4E56-B367-F4792FE14A19}" xr6:coauthVersionLast="36" xr6:coauthVersionMax="47" xr10:uidLastSave="{34325D9B-23B9-491C-97B9-DF368CB4C914}"/>
  <bookViews>
    <workbookView xWindow="-120" yWindow="-120" windowWidth="20730" windowHeight="11040" activeTab="5" xr2:uid="{00000000-000D-0000-FFFF-FFFF00000000}"/>
  </bookViews>
  <sheets>
    <sheet name="TABOK ES I" sheetId="1" r:id="rId1"/>
    <sheet name="TABOK ES II" sheetId="2" r:id="rId2"/>
    <sheet name="MAGUIKAY ES" sheetId="3" r:id="rId3"/>
    <sheet name="CABANCALAN I ES" sheetId="4" r:id="rId4"/>
    <sheet name="BAKILID ES" sheetId="5" r:id="rId5"/>
    <sheet name="TINGUB ES" sheetId="6" r:id="rId6"/>
    <sheet name="SUMMARY" sheetId="7" r:id="rId11"/>
  </sheets>
  <definedNames>
    <definedName name="_xlnm.Print_Area" localSheetId="4">'BAKILID ES'!$A$1:$D$85</definedName>
    <definedName name="_xlnm.Print_Area" localSheetId="3">'CABANCALAN I ES'!$A$1:$D$85</definedName>
    <definedName name="_xlnm.Print_Area" localSheetId="2">'MAGUIKAY ES'!$A$1:$D$85</definedName>
    <definedName name="_xlnm.Print_Area" localSheetId="0">'TABOK ES I'!$A$1:$D$85</definedName>
    <definedName name="_xlnm.Print_Area" localSheetId="1">'TABOK ES II'!$A$1:$D$85</definedName>
    <definedName name="_xlnm.Print_Area" localSheetId="5">'TINGUB ES'!$A$1:$D$85</definedName>
  </definedNames>
  <calcPr calcId="191029" fullCalcOnLoad="1"/>
</workbook>
</file>

<file path=xl/calcChain.xml><?xml version="1.0" encoding="utf-8"?>
<calcChain xmlns="http://schemas.openxmlformats.org/spreadsheetml/2006/main">
  <c r="AD74" i="6" l="1"/>
  <c r="AC74" i="6"/>
  <c r="AD73" i="6"/>
  <c r="AC73" i="6"/>
  <c r="AE73" i="6" s="1"/>
  <c r="AE72" i="6"/>
  <c r="AF72" i="6" s="1"/>
  <c r="AD72" i="6"/>
  <c r="AC72" i="6"/>
  <c r="AD71" i="6"/>
  <c r="AC71" i="6"/>
  <c r="AE71" i="6" s="1"/>
  <c r="AD70" i="6"/>
  <c r="AC70" i="6"/>
  <c r="AE70" i="6" s="1"/>
  <c r="AD69" i="6"/>
  <c r="AE69" i="6" s="1"/>
  <c r="AC69" i="6"/>
  <c r="AD68" i="6"/>
  <c r="AC68" i="6"/>
  <c r="AE68" i="6" s="1"/>
  <c r="AD67" i="6"/>
  <c r="AC67" i="6"/>
  <c r="AE67" i="6" s="1"/>
  <c r="AD66" i="6"/>
  <c r="AC66" i="6"/>
  <c r="AE66" i="6" s="1"/>
  <c r="AD65" i="6"/>
  <c r="AC65" i="6"/>
  <c r="AE65" i="6" s="1"/>
  <c r="AE64" i="6"/>
  <c r="AF64" i="6" s="1"/>
  <c r="AD64" i="6"/>
  <c r="AC64" i="6"/>
  <c r="AD63" i="6"/>
  <c r="AC63" i="6"/>
  <c r="AD62" i="6"/>
  <c r="AC62" i="6"/>
  <c r="AD61" i="6"/>
  <c r="AC61" i="6"/>
  <c r="AE61" i="6" s="1"/>
  <c r="AD60" i="6"/>
  <c r="AC60" i="6"/>
  <c r="AE60" i="6" s="1"/>
  <c r="AD59" i="6"/>
  <c r="AE59" i="6" s="1"/>
  <c r="AC59" i="6"/>
  <c r="AD58" i="6"/>
  <c r="AC58" i="6"/>
  <c r="AE58" i="6" s="1"/>
  <c r="AD57" i="6"/>
  <c r="AC57" i="6"/>
  <c r="AE57" i="6" s="1"/>
  <c r="AD56" i="6"/>
  <c r="AC56" i="6"/>
  <c r="AE56" i="6" s="1"/>
  <c r="AD55" i="6"/>
  <c r="AC55" i="6"/>
  <c r="AE55" i="6" s="1"/>
  <c r="AE54" i="6"/>
  <c r="AF54" i="6" s="1"/>
  <c r="AD54" i="6"/>
  <c r="AC54" i="6"/>
  <c r="AD53" i="6"/>
  <c r="AC53" i="6"/>
  <c r="AE53" i="6" s="1"/>
  <c r="AD52" i="6"/>
  <c r="AC52" i="6"/>
  <c r="AE52" i="6" s="1"/>
  <c r="AD51" i="6"/>
  <c r="AC51" i="6"/>
  <c r="AD50" i="6"/>
  <c r="AC50" i="6"/>
  <c r="AD49" i="6"/>
  <c r="AE49" i="6" s="1"/>
  <c r="AC49" i="6"/>
  <c r="AD48" i="6"/>
  <c r="AC48" i="6"/>
  <c r="AE48" i="6" s="1"/>
  <c r="AD47" i="6"/>
  <c r="AC47" i="6"/>
  <c r="AE47" i="6" s="1"/>
  <c r="AD46" i="6"/>
  <c r="AC46" i="6"/>
  <c r="AE46" i="6" s="1"/>
  <c r="AD45" i="6"/>
  <c r="AC45" i="6"/>
  <c r="AE45" i="6" s="1"/>
  <c r="AE44" i="6"/>
  <c r="AF44" i="6" s="1"/>
  <c r="AD44" i="6"/>
  <c r="AC44" i="6"/>
  <c r="AD43" i="6"/>
  <c r="AC43" i="6"/>
  <c r="AE43" i="6" s="1"/>
  <c r="AD42" i="6"/>
  <c r="AC42" i="6"/>
  <c r="AE42" i="6" s="1"/>
  <c r="AD41" i="6"/>
  <c r="AE41" i="6" s="1"/>
  <c r="AC41" i="6"/>
  <c r="AD40" i="6"/>
  <c r="AC40" i="6"/>
  <c r="AE40" i="6" s="1"/>
  <c r="AD39" i="6"/>
  <c r="AC39" i="6"/>
  <c r="AD38" i="6"/>
  <c r="AC38" i="6"/>
  <c r="AD37" i="6"/>
  <c r="AC37" i="6"/>
  <c r="AE37" i="6" s="1"/>
  <c r="AD36" i="6"/>
  <c r="AC36" i="6"/>
  <c r="AE36" i="6" s="1"/>
  <c r="AD35" i="6"/>
  <c r="AC35" i="6"/>
  <c r="AE35" i="6" s="1"/>
  <c r="AE34" i="6"/>
  <c r="AF34" i="6" s="1"/>
  <c r="AD34" i="6"/>
  <c r="AC34" i="6"/>
  <c r="AD33" i="6"/>
  <c r="AC33" i="6"/>
  <c r="AE33" i="6" s="1"/>
  <c r="AD32" i="6"/>
  <c r="AC32" i="6"/>
  <c r="AE32" i="6" s="1"/>
  <c r="AD31" i="6"/>
  <c r="AE31" i="6" s="1"/>
  <c r="AC31" i="6"/>
  <c r="AD30" i="6"/>
  <c r="AC30" i="6"/>
  <c r="AE30" i="6" s="1"/>
  <c r="AD29" i="6"/>
  <c r="AC29" i="6"/>
  <c r="AE29" i="6" s="1"/>
  <c r="AD28" i="6"/>
  <c r="AC28" i="6"/>
  <c r="AE28" i="6" s="1"/>
  <c r="AD27" i="6"/>
  <c r="AC27" i="6"/>
  <c r="AD26" i="6"/>
  <c r="AC26" i="6"/>
  <c r="AD25" i="6"/>
  <c r="AC25" i="6"/>
  <c r="AE25" i="6" s="1"/>
  <c r="AE24" i="6"/>
  <c r="AF24" i="6" s="1"/>
  <c r="AD24" i="6"/>
  <c r="AC24" i="6"/>
  <c r="AD23" i="6"/>
  <c r="AC23" i="6"/>
  <c r="AE23" i="6" s="1"/>
  <c r="AD22" i="6"/>
  <c r="AC22" i="6"/>
  <c r="AE22" i="6" s="1"/>
  <c r="AD21" i="6"/>
  <c r="AE21" i="6" s="1"/>
  <c r="AC21" i="6"/>
  <c r="AD20" i="6"/>
  <c r="AC20" i="6"/>
  <c r="AE20" i="6" s="1"/>
  <c r="AD19" i="6"/>
  <c r="AC19" i="6"/>
  <c r="AE19" i="6" s="1"/>
  <c r="AD18" i="6"/>
  <c r="AC18" i="6"/>
  <c r="AE18" i="6" s="1"/>
  <c r="AD17" i="6"/>
  <c r="AC17" i="6"/>
  <c r="AE17" i="6" s="1"/>
  <c r="AE16" i="6"/>
  <c r="AG16" i="6" s="1"/>
  <c r="AD16" i="6"/>
  <c r="AC16" i="6"/>
  <c r="AD74" i="5"/>
  <c r="AC74" i="5"/>
  <c r="AD73" i="5"/>
  <c r="AC73" i="5"/>
  <c r="AE73" i="5" s="1"/>
  <c r="AE72" i="5"/>
  <c r="AG72" i="5" s="1"/>
  <c r="AD72" i="5"/>
  <c r="AC72" i="5"/>
  <c r="AD71" i="5"/>
  <c r="AC71" i="5"/>
  <c r="AE71" i="5" s="1"/>
  <c r="AD70" i="5"/>
  <c r="AC70" i="5"/>
  <c r="AE70" i="5" s="1"/>
  <c r="AD69" i="5"/>
  <c r="AE69" i="5" s="1"/>
  <c r="AC69" i="5"/>
  <c r="AD68" i="5"/>
  <c r="AC68" i="5"/>
  <c r="AE68" i="5" s="1"/>
  <c r="AD67" i="5"/>
  <c r="AE67" i="5" s="1"/>
  <c r="AC67" i="5"/>
  <c r="AD66" i="5"/>
  <c r="AC66" i="5"/>
  <c r="AE66" i="5" s="1"/>
  <c r="AD65" i="5"/>
  <c r="AC65" i="5"/>
  <c r="AE65" i="5" s="1"/>
  <c r="AE64" i="5"/>
  <c r="AG64" i="5" s="1"/>
  <c r="AD64" i="5"/>
  <c r="AC64" i="5"/>
  <c r="AD63" i="5"/>
  <c r="AC63" i="5"/>
  <c r="AD62" i="5"/>
  <c r="AC62" i="5"/>
  <c r="AD61" i="5"/>
  <c r="AC61" i="5"/>
  <c r="AE61" i="5" s="1"/>
  <c r="AD60" i="5"/>
  <c r="AC60" i="5"/>
  <c r="AE60" i="5" s="1"/>
  <c r="AD59" i="5"/>
  <c r="AE59" i="5" s="1"/>
  <c r="AC59" i="5"/>
  <c r="AD58" i="5"/>
  <c r="AE58" i="5" s="1"/>
  <c r="AC58" i="5"/>
  <c r="AD57" i="5"/>
  <c r="AC57" i="5"/>
  <c r="AE57" i="5" s="1"/>
  <c r="AD56" i="5"/>
  <c r="AC56" i="5"/>
  <c r="AE56" i="5" s="1"/>
  <c r="AD55" i="5"/>
  <c r="AC55" i="5"/>
  <c r="AE55" i="5" s="1"/>
  <c r="AE54" i="5"/>
  <c r="AG54" i="5" s="1"/>
  <c r="AD54" i="5"/>
  <c r="AC54" i="5"/>
  <c r="AD53" i="5"/>
  <c r="AC53" i="5"/>
  <c r="AE53" i="5" s="1"/>
  <c r="AD52" i="5"/>
  <c r="AC52" i="5"/>
  <c r="AE52" i="5" s="1"/>
  <c r="AD51" i="5"/>
  <c r="AC51" i="5"/>
  <c r="AD50" i="5"/>
  <c r="AC50" i="5"/>
  <c r="AD49" i="5"/>
  <c r="AE49" i="5" s="1"/>
  <c r="AC49" i="5"/>
  <c r="AD48" i="5"/>
  <c r="AE48" i="5" s="1"/>
  <c r="AC48" i="5"/>
  <c r="AG47" i="5"/>
  <c r="AF47" i="5"/>
  <c r="AE47" i="5"/>
  <c r="AD47" i="5"/>
  <c r="AC47" i="5"/>
  <c r="AD46" i="5"/>
  <c r="AC46" i="5"/>
  <c r="AE46" i="5" s="1"/>
  <c r="AD45" i="5"/>
  <c r="AC45" i="5"/>
  <c r="AE45" i="5" s="1"/>
  <c r="AE44" i="5"/>
  <c r="AF44" i="5" s="1"/>
  <c r="AD44" i="5"/>
  <c r="AC44" i="5"/>
  <c r="AD43" i="5"/>
  <c r="AC43" i="5"/>
  <c r="AE43" i="5" s="1"/>
  <c r="AD42" i="5"/>
  <c r="AC42" i="5"/>
  <c r="AE42" i="5" s="1"/>
  <c r="AD41" i="5"/>
  <c r="AE41" i="5" s="1"/>
  <c r="AC41" i="5"/>
  <c r="AD40" i="5"/>
  <c r="AE40" i="5" s="1"/>
  <c r="AC40" i="5"/>
  <c r="AD39" i="5"/>
  <c r="AC39" i="5"/>
  <c r="AD38" i="5"/>
  <c r="AC38" i="5"/>
  <c r="AG37" i="5"/>
  <c r="AF37" i="5"/>
  <c r="AE37" i="5"/>
  <c r="AD37" i="5"/>
  <c r="AC37" i="5"/>
  <c r="AD36" i="5"/>
  <c r="AC36" i="5"/>
  <c r="AE36" i="5" s="1"/>
  <c r="AD35" i="5"/>
  <c r="AC35" i="5"/>
  <c r="AE35" i="5" s="1"/>
  <c r="AE34" i="5"/>
  <c r="AG34" i="5" s="1"/>
  <c r="AD34" i="5"/>
  <c r="AC34" i="5"/>
  <c r="AD33" i="5"/>
  <c r="AC33" i="5"/>
  <c r="AE33" i="5" s="1"/>
  <c r="AD32" i="5"/>
  <c r="AC32" i="5"/>
  <c r="AE32" i="5" s="1"/>
  <c r="AD31" i="5"/>
  <c r="AE31" i="5" s="1"/>
  <c r="AC31" i="5"/>
  <c r="AD30" i="5"/>
  <c r="AE30" i="5" s="1"/>
  <c r="AC30" i="5"/>
  <c r="AG29" i="5"/>
  <c r="AF29" i="5"/>
  <c r="AE29" i="5"/>
  <c r="AD29" i="5"/>
  <c r="AC29" i="5"/>
  <c r="AD28" i="5"/>
  <c r="AC28" i="5"/>
  <c r="AE28" i="5" s="1"/>
  <c r="AD27" i="5"/>
  <c r="AC27" i="5"/>
  <c r="AD26" i="5"/>
  <c r="AC26" i="5"/>
  <c r="AD25" i="5"/>
  <c r="AC25" i="5"/>
  <c r="AE25" i="5" s="1"/>
  <c r="AE24" i="5"/>
  <c r="AF24" i="5" s="1"/>
  <c r="AD24" i="5"/>
  <c r="AC24" i="5"/>
  <c r="AD23" i="5"/>
  <c r="AC23" i="5"/>
  <c r="AE23" i="5" s="1"/>
  <c r="AG22" i="5"/>
  <c r="AE22" i="5"/>
  <c r="AF22" i="5" s="1"/>
  <c r="AD22" i="5"/>
  <c r="AC22" i="5"/>
  <c r="AD21" i="5"/>
  <c r="AE21" i="5" s="1"/>
  <c r="AC21" i="5"/>
  <c r="AD20" i="5"/>
  <c r="AE20" i="5" s="1"/>
  <c r="AC20" i="5"/>
  <c r="AD19" i="5"/>
  <c r="AE19" i="5" s="1"/>
  <c r="AC19" i="5"/>
  <c r="AD18" i="5"/>
  <c r="AC18" i="5"/>
  <c r="AE18" i="5" s="1"/>
  <c r="AD17" i="5"/>
  <c r="AC17" i="5"/>
  <c r="AE17" i="5" s="1"/>
  <c r="AE16" i="5"/>
  <c r="AF16" i="5" s="1"/>
  <c r="AD16" i="5"/>
  <c r="AC16" i="5"/>
  <c r="AD74" i="4"/>
  <c r="AC74" i="4"/>
  <c r="AD73" i="4"/>
  <c r="AC73" i="4"/>
  <c r="AE73" i="4" s="1"/>
  <c r="AE72" i="4"/>
  <c r="AF72" i="4" s="1"/>
  <c r="AD72" i="4"/>
  <c r="AC72" i="4"/>
  <c r="AD71" i="4"/>
  <c r="AC71" i="4"/>
  <c r="AE71" i="4" s="1"/>
  <c r="AD70" i="4"/>
  <c r="AC70" i="4"/>
  <c r="AE70" i="4" s="1"/>
  <c r="AD69" i="4"/>
  <c r="AE69" i="4" s="1"/>
  <c r="AC69" i="4"/>
  <c r="AD68" i="4"/>
  <c r="AC68" i="4"/>
  <c r="AE68" i="4" s="1"/>
  <c r="AD67" i="4"/>
  <c r="AC67" i="4"/>
  <c r="AE67" i="4" s="1"/>
  <c r="AD66" i="4"/>
  <c r="AC66" i="4"/>
  <c r="AE66" i="4" s="1"/>
  <c r="AD65" i="4"/>
  <c r="AC65" i="4"/>
  <c r="AE65" i="4" s="1"/>
  <c r="AE64" i="4"/>
  <c r="AG64" i="4" s="1"/>
  <c r="AD64" i="4"/>
  <c r="AC64" i="4"/>
  <c r="AD63" i="4"/>
  <c r="AC63" i="4"/>
  <c r="AD62" i="4"/>
  <c r="AC62" i="4"/>
  <c r="AD61" i="4"/>
  <c r="AC61" i="4"/>
  <c r="AE61" i="4" s="1"/>
  <c r="AD60" i="4"/>
  <c r="AC60" i="4"/>
  <c r="AE60" i="4" s="1"/>
  <c r="AD59" i="4"/>
  <c r="AE59" i="4" s="1"/>
  <c r="AC59" i="4"/>
  <c r="AD58" i="4"/>
  <c r="AC58" i="4"/>
  <c r="AE58" i="4" s="1"/>
  <c r="AD57" i="4"/>
  <c r="AC57" i="4"/>
  <c r="AE57" i="4" s="1"/>
  <c r="AD56" i="4"/>
  <c r="AC56" i="4"/>
  <c r="AE56" i="4" s="1"/>
  <c r="AD55" i="4"/>
  <c r="AC55" i="4"/>
  <c r="AE55" i="4" s="1"/>
  <c r="AE54" i="4"/>
  <c r="AG54" i="4" s="1"/>
  <c r="AD54" i="4"/>
  <c r="AC54" i="4"/>
  <c r="AD53" i="4"/>
  <c r="AC53" i="4"/>
  <c r="AE53" i="4" s="1"/>
  <c r="AD52" i="4"/>
  <c r="AC52" i="4"/>
  <c r="AE52" i="4" s="1"/>
  <c r="AD51" i="4"/>
  <c r="AC51" i="4"/>
  <c r="AD50" i="4"/>
  <c r="AC50" i="4"/>
  <c r="AD49" i="4"/>
  <c r="AE49" i="4" s="1"/>
  <c r="AC49" i="4"/>
  <c r="AD48" i="4"/>
  <c r="AC48" i="4"/>
  <c r="AE48" i="4" s="1"/>
  <c r="AD47" i="4"/>
  <c r="AC47" i="4"/>
  <c r="AE47" i="4" s="1"/>
  <c r="AD46" i="4"/>
  <c r="AC46" i="4"/>
  <c r="AE46" i="4" s="1"/>
  <c r="AD45" i="4"/>
  <c r="AC45" i="4"/>
  <c r="AE45" i="4" s="1"/>
  <c r="AE44" i="4"/>
  <c r="AG44" i="4" s="1"/>
  <c r="AD44" i="4"/>
  <c r="AC44" i="4"/>
  <c r="AD43" i="4"/>
  <c r="AC43" i="4"/>
  <c r="AE43" i="4" s="1"/>
  <c r="AD42" i="4"/>
  <c r="AC42" i="4"/>
  <c r="AE42" i="4" s="1"/>
  <c r="AD41" i="4"/>
  <c r="AE41" i="4" s="1"/>
  <c r="AC41" i="4"/>
  <c r="AD40" i="4"/>
  <c r="AC40" i="4"/>
  <c r="AE40" i="4" s="1"/>
  <c r="AD39" i="4"/>
  <c r="AC39" i="4"/>
  <c r="AD38" i="4"/>
  <c r="AC38" i="4"/>
  <c r="AD37" i="4"/>
  <c r="AC37" i="4"/>
  <c r="AE37" i="4" s="1"/>
  <c r="AD36" i="4"/>
  <c r="AC36" i="4"/>
  <c r="AE36" i="4" s="1"/>
  <c r="AD35" i="4"/>
  <c r="AC35" i="4"/>
  <c r="AE35" i="4" s="1"/>
  <c r="AE34" i="4"/>
  <c r="AG34" i="4" s="1"/>
  <c r="AD34" i="4"/>
  <c r="AC34" i="4"/>
  <c r="AD33" i="4"/>
  <c r="AC33" i="4"/>
  <c r="AE33" i="4" s="1"/>
  <c r="AD32" i="4"/>
  <c r="AC32" i="4"/>
  <c r="AE32" i="4" s="1"/>
  <c r="AD31" i="4"/>
  <c r="AE31" i="4" s="1"/>
  <c r="AC31" i="4"/>
  <c r="AD30" i="4"/>
  <c r="AC30" i="4"/>
  <c r="AE30" i="4" s="1"/>
  <c r="AD29" i="4"/>
  <c r="AC29" i="4"/>
  <c r="AE29" i="4" s="1"/>
  <c r="AD28" i="4"/>
  <c r="AC28" i="4"/>
  <c r="AE28" i="4" s="1"/>
  <c r="AD27" i="4"/>
  <c r="AC27" i="4"/>
  <c r="AD26" i="4"/>
  <c r="AC26" i="4"/>
  <c r="AD25" i="4"/>
  <c r="AC25" i="4"/>
  <c r="AE25" i="4" s="1"/>
  <c r="AE24" i="4"/>
  <c r="AG24" i="4" s="1"/>
  <c r="AD24" i="4"/>
  <c r="AC24" i="4"/>
  <c r="AD23" i="4"/>
  <c r="AC23" i="4"/>
  <c r="AE23" i="4" s="1"/>
  <c r="AD22" i="4"/>
  <c r="AC22" i="4"/>
  <c r="AE22" i="4" s="1"/>
  <c r="AD21" i="4"/>
  <c r="AE21" i="4" s="1"/>
  <c r="AC21" i="4"/>
  <c r="AD20" i="4"/>
  <c r="AC20" i="4"/>
  <c r="AE20" i="4" s="1"/>
  <c r="AD19" i="4"/>
  <c r="AC19" i="4"/>
  <c r="AE19" i="4" s="1"/>
  <c r="AD18" i="4"/>
  <c r="AC18" i="4"/>
  <c r="AE18" i="4" s="1"/>
  <c r="AD17" i="4"/>
  <c r="AC17" i="4"/>
  <c r="AE17" i="4" s="1"/>
  <c r="AE16" i="4"/>
  <c r="AG16" i="4" s="1"/>
  <c r="AD16" i="4"/>
  <c r="AC16" i="4"/>
  <c r="AD74" i="3"/>
  <c r="AC74" i="3"/>
  <c r="AD73" i="3"/>
  <c r="AC73" i="3"/>
  <c r="AE73" i="3" s="1"/>
  <c r="AE72" i="3"/>
  <c r="AG72" i="3" s="1"/>
  <c r="AD72" i="3"/>
  <c r="AC72" i="3"/>
  <c r="AD71" i="3"/>
  <c r="AC71" i="3"/>
  <c r="AE71" i="3" s="1"/>
  <c r="AG70" i="3"/>
  <c r="AE70" i="3"/>
  <c r="AF70" i="3" s="1"/>
  <c r="AD70" i="3"/>
  <c r="AC70" i="3"/>
  <c r="AD69" i="3"/>
  <c r="AE69" i="3" s="1"/>
  <c r="AC69" i="3"/>
  <c r="AD68" i="3"/>
  <c r="AC68" i="3"/>
  <c r="AE68" i="3" s="1"/>
  <c r="AD67" i="3"/>
  <c r="AE67" i="3" s="1"/>
  <c r="AC67" i="3"/>
  <c r="AD66" i="3"/>
  <c r="AC66" i="3"/>
  <c r="AE66" i="3" s="1"/>
  <c r="AD65" i="3"/>
  <c r="AC65" i="3"/>
  <c r="AE65" i="3" s="1"/>
  <c r="AE64" i="3"/>
  <c r="AG64" i="3" s="1"/>
  <c r="AD64" i="3"/>
  <c r="AC64" i="3"/>
  <c r="AD63" i="3"/>
  <c r="AC63" i="3"/>
  <c r="AD62" i="3"/>
  <c r="AC62" i="3"/>
  <c r="AD61" i="3"/>
  <c r="AC61" i="3"/>
  <c r="AE61" i="3" s="1"/>
  <c r="AD60" i="3"/>
  <c r="AC60" i="3"/>
  <c r="AE60" i="3" s="1"/>
  <c r="AD59" i="3"/>
  <c r="AE59" i="3" s="1"/>
  <c r="AC59" i="3"/>
  <c r="AD58" i="3"/>
  <c r="AE58" i="3" s="1"/>
  <c r="AC58" i="3"/>
  <c r="AD57" i="3"/>
  <c r="AC57" i="3"/>
  <c r="AE57" i="3" s="1"/>
  <c r="AD56" i="3"/>
  <c r="AC56" i="3"/>
  <c r="AE56" i="3" s="1"/>
  <c r="AE55" i="3"/>
  <c r="AG55" i="3" s="1"/>
  <c r="AD55" i="3"/>
  <c r="AC55" i="3"/>
  <c r="AE54" i="3"/>
  <c r="AG54" i="3" s="1"/>
  <c r="AD54" i="3"/>
  <c r="AC54" i="3"/>
  <c r="AD53" i="3"/>
  <c r="AC53" i="3"/>
  <c r="AE53" i="3" s="1"/>
  <c r="AD52" i="3"/>
  <c r="AC52" i="3"/>
  <c r="AE52" i="3" s="1"/>
  <c r="AD51" i="3"/>
  <c r="AC51" i="3"/>
  <c r="AD50" i="3"/>
  <c r="AC50" i="3"/>
  <c r="AD49" i="3"/>
  <c r="AE49" i="3" s="1"/>
  <c r="AC49" i="3"/>
  <c r="AD48" i="3"/>
  <c r="AC48" i="3"/>
  <c r="AE48" i="3" s="1"/>
  <c r="AD47" i="3"/>
  <c r="AC47" i="3"/>
  <c r="AE47" i="3" s="1"/>
  <c r="AD46" i="3"/>
  <c r="AC46" i="3"/>
  <c r="AE46" i="3" s="1"/>
  <c r="AE45" i="3"/>
  <c r="AG45" i="3" s="1"/>
  <c r="AD45" i="3"/>
  <c r="AC45" i="3"/>
  <c r="AE44" i="3"/>
  <c r="AG44" i="3" s="1"/>
  <c r="AD44" i="3"/>
  <c r="AC44" i="3"/>
  <c r="AD43" i="3"/>
  <c r="AC43" i="3"/>
  <c r="AE43" i="3" s="1"/>
  <c r="AD42" i="3"/>
  <c r="AE42" i="3" s="1"/>
  <c r="AC42" i="3"/>
  <c r="AD41" i="3"/>
  <c r="AE41" i="3" s="1"/>
  <c r="AC41" i="3"/>
  <c r="AD40" i="3"/>
  <c r="AC40" i="3"/>
  <c r="AE40" i="3" s="1"/>
  <c r="AD39" i="3"/>
  <c r="AC39" i="3"/>
  <c r="AD38" i="3"/>
  <c r="AC38" i="3"/>
  <c r="AD37" i="3"/>
  <c r="AC37" i="3"/>
  <c r="AE37" i="3" s="1"/>
  <c r="AD36" i="3"/>
  <c r="AC36" i="3"/>
  <c r="AE36" i="3" s="1"/>
  <c r="AE35" i="3"/>
  <c r="AG35" i="3" s="1"/>
  <c r="AD35" i="3"/>
  <c r="AC35" i="3"/>
  <c r="AE34" i="3"/>
  <c r="AG34" i="3" s="1"/>
  <c r="AD34" i="3"/>
  <c r="AC34" i="3"/>
  <c r="AD33" i="3"/>
  <c r="AC33" i="3"/>
  <c r="AE33" i="3" s="1"/>
  <c r="AD32" i="3"/>
  <c r="AE32" i="3" s="1"/>
  <c r="AC32" i="3"/>
  <c r="AD31" i="3"/>
  <c r="AE31" i="3" s="1"/>
  <c r="AC31" i="3"/>
  <c r="AD30" i="3"/>
  <c r="AE30" i="3" s="1"/>
  <c r="AC30" i="3"/>
  <c r="AD29" i="3"/>
  <c r="AC29" i="3"/>
  <c r="AE29" i="3" s="1"/>
  <c r="AD28" i="3"/>
  <c r="AC28" i="3"/>
  <c r="AE28" i="3" s="1"/>
  <c r="AD27" i="3"/>
  <c r="AC27" i="3"/>
  <c r="AD26" i="3"/>
  <c r="AC26" i="3"/>
  <c r="AE25" i="3"/>
  <c r="AG25" i="3" s="1"/>
  <c r="AD25" i="3"/>
  <c r="AC25" i="3"/>
  <c r="AE24" i="3"/>
  <c r="AG24" i="3" s="1"/>
  <c r="AD24" i="3"/>
  <c r="AC24" i="3"/>
  <c r="AD23" i="3"/>
  <c r="AC23" i="3"/>
  <c r="AE23" i="3" s="1"/>
  <c r="AD22" i="3"/>
  <c r="AE22" i="3" s="1"/>
  <c r="AC22" i="3"/>
  <c r="AD21" i="3"/>
  <c r="AE21" i="3" s="1"/>
  <c r="AC21" i="3"/>
  <c r="AD20" i="3"/>
  <c r="AE20" i="3" s="1"/>
  <c r="AC20" i="3"/>
  <c r="AD19" i="3"/>
  <c r="AC19" i="3"/>
  <c r="AE19" i="3" s="1"/>
  <c r="AD18" i="3"/>
  <c r="AC18" i="3"/>
  <c r="AE18" i="3" s="1"/>
  <c r="AE17" i="3"/>
  <c r="AG17" i="3" s="1"/>
  <c r="AD17" i="3"/>
  <c r="AC17" i="3"/>
  <c r="AE16" i="3"/>
  <c r="AG16" i="3" s="1"/>
  <c r="AD16" i="3"/>
  <c r="AC16" i="3"/>
  <c r="AD74" i="2"/>
  <c r="AC74" i="2"/>
  <c r="AE73" i="2"/>
  <c r="AF73" i="2" s="1"/>
  <c r="AD73" i="2"/>
  <c r="AC73" i="2"/>
  <c r="AD72" i="2"/>
  <c r="AC72" i="2"/>
  <c r="AE72" i="2" s="1"/>
  <c r="AG71" i="2"/>
  <c r="AF71" i="2"/>
  <c r="AE71" i="2"/>
  <c r="AD71" i="2"/>
  <c r="AC71" i="2"/>
  <c r="AD70" i="2"/>
  <c r="AC70" i="2"/>
  <c r="AE70" i="2" s="1"/>
  <c r="AD69" i="2"/>
  <c r="AC69" i="2"/>
  <c r="AD68" i="2"/>
  <c r="AC68" i="2"/>
  <c r="AD67" i="2"/>
  <c r="AC67" i="2"/>
  <c r="AE67" i="2" s="1"/>
  <c r="AE66" i="2"/>
  <c r="AF66" i="2" s="1"/>
  <c r="AD66" i="2"/>
  <c r="AC66" i="2"/>
  <c r="AD65" i="2"/>
  <c r="AC65" i="2"/>
  <c r="AE65" i="2" s="1"/>
  <c r="AD64" i="2"/>
  <c r="AC64" i="2"/>
  <c r="AE64" i="2" s="1"/>
  <c r="AD63" i="2"/>
  <c r="AC63" i="2"/>
  <c r="AD62" i="2"/>
  <c r="AC62" i="2"/>
  <c r="AE61" i="2"/>
  <c r="AF61" i="2" s="1"/>
  <c r="AD61" i="2"/>
  <c r="AC61" i="2"/>
  <c r="AD60" i="2"/>
  <c r="AC60" i="2"/>
  <c r="AE60" i="2" s="1"/>
  <c r="AD59" i="2"/>
  <c r="AC59" i="2"/>
  <c r="AE59" i="2" s="1"/>
  <c r="AD58" i="2"/>
  <c r="AE58" i="2" s="1"/>
  <c r="AC58" i="2"/>
  <c r="AD57" i="2"/>
  <c r="AC57" i="2"/>
  <c r="AE57" i="2" s="1"/>
  <c r="AD56" i="2"/>
  <c r="AC56" i="2"/>
  <c r="AE56" i="2" s="1"/>
  <c r="AD55" i="2"/>
  <c r="AC55" i="2"/>
  <c r="AE55" i="2" s="1"/>
  <c r="AD54" i="2"/>
  <c r="AC54" i="2"/>
  <c r="AE54" i="2" s="1"/>
  <c r="AD53" i="2"/>
  <c r="AE53" i="2" s="1"/>
  <c r="AF53" i="2" s="1"/>
  <c r="AC53" i="2"/>
  <c r="AD52" i="2"/>
  <c r="AC52" i="2"/>
  <c r="AE52" i="2" s="1"/>
  <c r="AD51" i="2"/>
  <c r="AC51" i="2"/>
  <c r="AD50" i="2"/>
  <c r="AC50" i="2"/>
  <c r="AD49" i="2"/>
  <c r="AC49" i="2"/>
  <c r="AE49" i="2" s="1"/>
  <c r="AD48" i="2"/>
  <c r="AE48" i="2" s="1"/>
  <c r="AC48" i="2"/>
  <c r="AD47" i="2"/>
  <c r="AC47" i="2"/>
  <c r="AE47" i="2" s="1"/>
  <c r="AD46" i="2"/>
  <c r="AC46" i="2"/>
  <c r="AE46" i="2" s="1"/>
  <c r="AD45" i="2"/>
  <c r="AC45" i="2"/>
  <c r="AE45" i="2" s="1"/>
  <c r="AD44" i="2"/>
  <c r="AC44" i="2"/>
  <c r="AE44" i="2" s="1"/>
  <c r="AE43" i="2"/>
  <c r="AG43" i="2" s="1"/>
  <c r="AD43" i="2"/>
  <c r="AC43" i="2"/>
  <c r="AD42" i="2"/>
  <c r="AC42" i="2"/>
  <c r="AE42" i="2" s="1"/>
  <c r="AD41" i="2"/>
  <c r="AC41" i="2"/>
  <c r="AD40" i="2"/>
  <c r="AE40" i="2" s="1"/>
  <c r="AC40" i="2"/>
  <c r="AD39" i="2"/>
  <c r="AC39" i="2"/>
  <c r="AD38" i="2"/>
  <c r="AC38" i="2"/>
  <c r="AD37" i="2"/>
  <c r="AC37" i="2"/>
  <c r="AE37" i="2" s="1"/>
  <c r="AD36" i="2"/>
  <c r="AC36" i="2"/>
  <c r="AE36" i="2" s="1"/>
  <c r="AD35" i="2"/>
  <c r="AC35" i="2"/>
  <c r="AE35" i="2" s="1"/>
  <c r="AD34" i="2"/>
  <c r="AC34" i="2"/>
  <c r="AE34" i="2" s="1"/>
  <c r="AD33" i="2"/>
  <c r="AE33" i="2" s="1"/>
  <c r="AG33" i="2" s="1"/>
  <c r="AC33" i="2"/>
  <c r="AD32" i="2"/>
  <c r="AC32" i="2"/>
  <c r="AD31" i="2"/>
  <c r="AC31" i="2"/>
  <c r="AE31" i="2" s="1"/>
  <c r="AD30" i="2"/>
  <c r="AC30" i="2"/>
  <c r="AD29" i="2"/>
  <c r="AC29" i="2"/>
  <c r="AE29" i="2" s="1"/>
  <c r="AD28" i="2"/>
  <c r="AC28" i="2"/>
  <c r="AE28" i="2" s="1"/>
  <c r="AD27" i="2"/>
  <c r="AC27" i="2"/>
  <c r="AD26" i="2"/>
  <c r="AC26" i="2"/>
  <c r="AD25" i="2"/>
  <c r="AC25" i="2"/>
  <c r="AE25" i="2" s="1"/>
  <c r="AD24" i="2"/>
  <c r="AC24" i="2"/>
  <c r="AE24" i="2" s="1"/>
  <c r="AE23" i="2"/>
  <c r="AG23" i="2" s="1"/>
  <c r="AD23" i="2"/>
  <c r="AC23" i="2"/>
  <c r="AD22" i="2"/>
  <c r="AC22" i="2"/>
  <c r="AE22" i="2" s="1"/>
  <c r="AD21" i="2"/>
  <c r="AC21" i="2"/>
  <c r="AD20" i="2"/>
  <c r="AE20" i="2" s="1"/>
  <c r="AC20" i="2"/>
  <c r="AD19" i="2"/>
  <c r="AC19" i="2"/>
  <c r="AE19" i="2" s="1"/>
  <c r="AD18" i="2"/>
  <c r="AC18" i="2"/>
  <c r="AE18" i="2" s="1"/>
  <c r="AD17" i="2"/>
  <c r="AC17" i="2"/>
  <c r="AE17" i="2" s="1"/>
  <c r="AD16" i="2"/>
  <c r="AC16" i="2"/>
  <c r="AE16" i="2" s="1"/>
  <c r="AF18" i="6" l="1"/>
  <c r="AG18" i="6"/>
  <c r="AG37" i="6"/>
  <c r="AF37" i="6"/>
  <c r="AG56" i="6"/>
  <c r="AF56" i="6"/>
  <c r="AG30" i="6"/>
  <c r="AF30" i="6"/>
  <c r="AG41" i="6"/>
  <c r="AF41" i="6"/>
  <c r="AG68" i="6"/>
  <c r="AF68" i="6"/>
  <c r="AG19" i="6"/>
  <c r="AF19" i="6"/>
  <c r="AF49" i="6"/>
  <c r="AG49" i="6"/>
  <c r="AF46" i="6"/>
  <c r="AG46" i="6"/>
  <c r="AG20" i="6"/>
  <c r="AF20" i="6"/>
  <c r="AG35" i="6"/>
  <c r="AF35" i="6"/>
  <c r="AG73" i="6"/>
  <c r="AF73" i="6"/>
  <c r="AG28" i="6"/>
  <c r="AF28" i="6"/>
  <c r="AF47" i="6"/>
  <c r="AG47" i="6"/>
  <c r="AG66" i="6"/>
  <c r="AF66" i="6"/>
  <c r="AF36" i="6"/>
  <c r="AG36" i="6"/>
  <c r="AG40" i="6"/>
  <c r="AF40" i="6"/>
  <c r="AG55" i="6"/>
  <c r="AF55" i="6"/>
  <c r="AF22" i="6"/>
  <c r="AG22" i="6"/>
  <c r="AF60" i="6"/>
  <c r="AG60" i="6"/>
  <c r="AG45" i="6"/>
  <c r="AF45" i="6"/>
  <c r="AF53" i="6"/>
  <c r="AG53" i="6"/>
  <c r="AF23" i="6"/>
  <c r="AG23" i="6"/>
  <c r="AF42" i="6"/>
  <c r="AG42" i="6"/>
  <c r="AF57" i="6"/>
  <c r="AG57" i="6"/>
  <c r="AF61" i="6"/>
  <c r="AG61" i="6"/>
  <c r="AG65" i="6"/>
  <c r="AF65" i="6"/>
  <c r="AF74" i="6" s="1"/>
  <c r="B74" i="6" s="1"/>
  <c r="AF31" i="6"/>
  <c r="AG31" i="6"/>
  <c r="AF43" i="6"/>
  <c r="AG43" i="6"/>
  <c r="AG58" i="6"/>
  <c r="AF58" i="6"/>
  <c r="AG69" i="6"/>
  <c r="AF69" i="6"/>
  <c r="AG26" i="6"/>
  <c r="AF32" i="6"/>
  <c r="AG32" i="6"/>
  <c r="AF70" i="6"/>
  <c r="AG70" i="6"/>
  <c r="AG17" i="6"/>
  <c r="AF17" i="6"/>
  <c r="AG21" i="6"/>
  <c r="AF21" i="6"/>
  <c r="AG25" i="6"/>
  <c r="AF25" i="6"/>
  <c r="AF29" i="6"/>
  <c r="AG29" i="6"/>
  <c r="AF33" i="6"/>
  <c r="AG33" i="6"/>
  <c r="AG48" i="6"/>
  <c r="AF48" i="6"/>
  <c r="AF52" i="6"/>
  <c r="AG52" i="6"/>
  <c r="AG59" i="6"/>
  <c r="AF59" i="6"/>
  <c r="AG67" i="6"/>
  <c r="AF67" i="6"/>
  <c r="AF71" i="6"/>
  <c r="AG71" i="6"/>
  <c r="AG24" i="6"/>
  <c r="AG34" i="6"/>
  <c r="AG44" i="6"/>
  <c r="AG72" i="6"/>
  <c r="AF16" i="6"/>
  <c r="AG54" i="6"/>
  <c r="AG64" i="6"/>
  <c r="AG46" i="5"/>
  <c r="AF46" i="5"/>
  <c r="AG48" i="5"/>
  <c r="AF48" i="5"/>
  <c r="AG23" i="5"/>
  <c r="AF23" i="5"/>
  <c r="AG33" i="5"/>
  <c r="AF33" i="5"/>
  <c r="AG68" i="5"/>
  <c r="AF68" i="5"/>
  <c r="AG20" i="5"/>
  <c r="AF20" i="5"/>
  <c r="AF57" i="5"/>
  <c r="AG57" i="5"/>
  <c r="AG65" i="5"/>
  <c r="AG74" i="5" s="1"/>
  <c r="C74" i="5" s="1"/>
  <c r="AF65" i="5"/>
  <c r="AG21" i="5"/>
  <c r="AF21" i="5"/>
  <c r="AG30" i="5"/>
  <c r="AF30" i="5"/>
  <c r="AG40" i="5"/>
  <c r="AF40" i="5"/>
  <c r="AG69" i="5"/>
  <c r="AF69" i="5"/>
  <c r="AG73" i="5"/>
  <c r="AF73" i="5"/>
  <c r="AG19" i="5"/>
  <c r="AF19" i="5"/>
  <c r="AF67" i="5"/>
  <c r="AG67" i="5"/>
  <c r="AF26" i="5"/>
  <c r="AG61" i="5"/>
  <c r="AF61" i="5"/>
  <c r="AG17" i="5"/>
  <c r="AF17" i="5"/>
  <c r="AF18" i="5"/>
  <c r="AG18" i="5"/>
  <c r="AG58" i="5"/>
  <c r="AF58" i="5"/>
  <c r="AF66" i="5"/>
  <c r="AG66" i="5"/>
  <c r="AF70" i="5"/>
  <c r="AG70" i="5"/>
  <c r="AF60" i="5"/>
  <c r="AG60" i="5"/>
  <c r="AF28" i="5"/>
  <c r="AG28" i="5"/>
  <c r="AG25" i="5"/>
  <c r="AF25" i="5"/>
  <c r="AG31" i="5"/>
  <c r="AF31" i="5"/>
  <c r="AG35" i="5"/>
  <c r="AF35" i="5"/>
  <c r="AG41" i="5"/>
  <c r="AF41" i="5"/>
  <c r="AG45" i="5"/>
  <c r="AF45" i="5"/>
  <c r="AG55" i="5"/>
  <c r="AF55" i="5"/>
  <c r="AF36" i="5"/>
  <c r="AG36" i="5"/>
  <c r="AF56" i="5"/>
  <c r="AG56" i="5"/>
  <c r="AG43" i="5"/>
  <c r="AF43" i="5"/>
  <c r="AG53" i="5"/>
  <c r="AF53" i="5"/>
  <c r="AG49" i="5"/>
  <c r="AF49" i="5"/>
  <c r="AF32" i="5"/>
  <c r="AG32" i="5"/>
  <c r="AF42" i="5"/>
  <c r="AG42" i="5"/>
  <c r="AF52" i="5"/>
  <c r="AG52" i="5"/>
  <c r="AG59" i="5"/>
  <c r="AF59" i="5"/>
  <c r="AG71" i="5"/>
  <c r="AF71" i="5"/>
  <c r="AF34" i="5"/>
  <c r="AF54" i="5"/>
  <c r="AF64" i="5"/>
  <c r="AF72" i="5"/>
  <c r="AG16" i="5"/>
  <c r="AG24" i="5"/>
  <c r="AG44" i="5"/>
  <c r="AF22" i="4"/>
  <c r="AG22" i="4"/>
  <c r="AF37" i="4"/>
  <c r="AG37" i="4"/>
  <c r="AG56" i="4"/>
  <c r="AF56" i="4"/>
  <c r="AF41" i="4"/>
  <c r="AG41" i="4"/>
  <c r="AG68" i="4"/>
  <c r="AF68" i="4"/>
  <c r="AG19" i="4"/>
  <c r="AF19" i="4"/>
  <c r="AF42" i="4"/>
  <c r="AG42" i="4"/>
  <c r="AG65" i="4"/>
  <c r="AG74" i="4" s="1"/>
  <c r="C74" i="4" s="1"/>
  <c r="AF65" i="4"/>
  <c r="AG73" i="4"/>
  <c r="AF73" i="4"/>
  <c r="AF18" i="4"/>
  <c r="AG18" i="4"/>
  <c r="AF60" i="4"/>
  <c r="AG60" i="4"/>
  <c r="AG30" i="4"/>
  <c r="AF30" i="4"/>
  <c r="AG45" i="4"/>
  <c r="AF45" i="4"/>
  <c r="AF53" i="4"/>
  <c r="AG53" i="4"/>
  <c r="AF23" i="4"/>
  <c r="AG23" i="4"/>
  <c r="AG49" i="4"/>
  <c r="AF49" i="4"/>
  <c r="AG57" i="4"/>
  <c r="AF57" i="4"/>
  <c r="AF61" i="4"/>
  <c r="AG61" i="4"/>
  <c r="AF46" i="4"/>
  <c r="AG46" i="4"/>
  <c r="AG20" i="4"/>
  <c r="AF20" i="4"/>
  <c r="AG31" i="4"/>
  <c r="AF31" i="4"/>
  <c r="AG35" i="4"/>
  <c r="AF35" i="4"/>
  <c r="AG43" i="4"/>
  <c r="AF43" i="4"/>
  <c r="AG58" i="4"/>
  <c r="AF58" i="4"/>
  <c r="AG69" i="4"/>
  <c r="AF69" i="4"/>
  <c r="AG28" i="4"/>
  <c r="AF28" i="4"/>
  <c r="AF32" i="4"/>
  <c r="AG32" i="4"/>
  <c r="AG47" i="4"/>
  <c r="AF47" i="4"/>
  <c r="AG66" i="4"/>
  <c r="AF66" i="4"/>
  <c r="AF70" i="4"/>
  <c r="AG70" i="4"/>
  <c r="AG17" i="4"/>
  <c r="AG26" i="4" s="1"/>
  <c r="AF17" i="4"/>
  <c r="AG36" i="4"/>
  <c r="AF36" i="4"/>
  <c r="AG40" i="4"/>
  <c r="AF40" i="4"/>
  <c r="AG55" i="4"/>
  <c r="AF55" i="4"/>
  <c r="AF21" i="4"/>
  <c r="AG21" i="4"/>
  <c r="AG25" i="4"/>
  <c r="AF25" i="4"/>
  <c r="AG29" i="4"/>
  <c r="AF29" i="4"/>
  <c r="AF33" i="4"/>
  <c r="AG33" i="4"/>
  <c r="AG48" i="4"/>
  <c r="AF48" i="4"/>
  <c r="AF52" i="4"/>
  <c r="AG52" i="4"/>
  <c r="AG59" i="4"/>
  <c r="AF59" i="4"/>
  <c r="AG67" i="4"/>
  <c r="AF67" i="4"/>
  <c r="AF71" i="4"/>
  <c r="AG71" i="4"/>
  <c r="AF16" i="4"/>
  <c r="AF24" i="4"/>
  <c r="AF34" i="4"/>
  <c r="AF44" i="4"/>
  <c r="AG72" i="4"/>
  <c r="AF54" i="4"/>
  <c r="AF64" i="4"/>
  <c r="AG28" i="3"/>
  <c r="AF28" i="3"/>
  <c r="AG46" i="3"/>
  <c r="AF46" i="3"/>
  <c r="AG21" i="3"/>
  <c r="AF21" i="3"/>
  <c r="AG33" i="3"/>
  <c r="AF33" i="3"/>
  <c r="AF58" i="3"/>
  <c r="AG58" i="3"/>
  <c r="AG23" i="3"/>
  <c r="AF23" i="3"/>
  <c r="AG48" i="3"/>
  <c r="AF48" i="3"/>
  <c r="AF52" i="3"/>
  <c r="AG52" i="3"/>
  <c r="AG62" i="3" s="1"/>
  <c r="C62" i="3" s="1"/>
  <c r="AG73" i="3"/>
  <c r="AF73" i="3"/>
  <c r="AG61" i="3"/>
  <c r="AF61" i="3"/>
  <c r="AG65" i="3"/>
  <c r="AF65" i="3"/>
  <c r="AF29" i="3"/>
  <c r="AG29" i="3"/>
  <c r="AF47" i="3"/>
  <c r="AG47" i="3"/>
  <c r="AG41" i="3"/>
  <c r="AF41" i="3"/>
  <c r="AG59" i="3"/>
  <c r="AF59" i="3"/>
  <c r="AG43" i="3"/>
  <c r="AF43" i="3"/>
  <c r="AG57" i="3"/>
  <c r="AF57" i="3"/>
  <c r="AG36" i="3"/>
  <c r="AF36" i="3"/>
  <c r="AG69" i="3"/>
  <c r="AF69" i="3"/>
  <c r="AG66" i="3"/>
  <c r="AG74" i="3" s="1"/>
  <c r="C74" i="3" s="1"/>
  <c r="AF66" i="3"/>
  <c r="AF37" i="3"/>
  <c r="AG37" i="3"/>
  <c r="AG30" i="3"/>
  <c r="AF30" i="3"/>
  <c r="AG53" i="3"/>
  <c r="AF53" i="3"/>
  <c r="AG56" i="3"/>
  <c r="AF56" i="3"/>
  <c r="AF60" i="3"/>
  <c r="AG60" i="3"/>
  <c r="AG67" i="3"/>
  <c r="AF67" i="3"/>
  <c r="AF32" i="3"/>
  <c r="AG32" i="3"/>
  <c r="AG18" i="3"/>
  <c r="AF18" i="3"/>
  <c r="AG40" i="3"/>
  <c r="AF40" i="3"/>
  <c r="AF22" i="3"/>
  <c r="AG22" i="3"/>
  <c r="AG19" i="3"/>
  <c r="AF19" i="3"/>
  <c r="AG26" i="3"/>
  <c r="AG20" i="3"/>
  <c r="AF20" i="3"/>
  <c r="AG31" i="3"/>
  <c r="AF31" i="3"/>
  <c r="AF42" i="3"/>
  <c r="AG42" i="3"/>
  <c r="AG49" i="3"/>
  <c r="AF49" i="3"/>
  <c r="AG68" i="3"/>
  <c r="AF68" i="3"/>
  <c r="AG71" i="3"/>
  <c r="AF71" i="3"/>
  <c r="AF16" i="3"/>
  <c r="AF24" i="3"/>
  <c r="AF34" i="3"/>
  <c r="AF44" i="3"/>
  <c r="AF54" i="3"/>
  <c r="AF64" i="3"/>
  <c r="AF72" i="3"/>
  <c r="AF55" i="3"/>
  <c r="AF17" i="3"/>
  <c r="AF25" i="3"/>
  <c r="AF35" i="3"/>
  <c r="AF45" i="3"/>
  <c r="AE69" i="2"/>
  <c r="AE68" i="2"/>
  <c r="AG68" i="2" s="1"/>
  <c r="AG66" i="2"/>
  <c r="AE41" i="2"/>
  <c r="AE32" i="2"/>
  <c r="AE30" i="2"/>
  <c r="AE21" i="2"/>
  <c r="AG17" i="2"/>
  <c r="AF17" i="2"/>
  <c r="AG55" i="2"/>
  <c r="AF55" i="2"/>
  <c r="AG40" i="2"/>
  <c r="AF40" i="2"/>
  <c r="AG18" i="2"/>
  <c r="AF18" i="2"/>
  <c r="AF70" i="2"/>
  <c r="AG70" i="2"/>
  <c r="AF36" i="2"/>
  <c r="AG36" i="2"/>
  <c r="AG59" i="2"/>
  <c r="AF59" i="2"/>
  <c r="AF29" i="2"/>
  <c r="AG29" i="2"/>
  <c r="AG72" i="2"/>
  <c r="AF72" i="2"/>
  <c r="AF41" i="2"/>
  <c r="AG41" i="2"/>
  <c r="AG45" i="2"/>
  <c r="AF45" i="2"/>
  <c r="AG49" i="2"/>
  <c r="AF49" i="2"/>
  <c r="AG64" i="2"/>
  <c r="AF64" i="2"/>
  <c r="AG19" i="2"/>
  <c r="AF19" i="2"/>
  <c r="AG30" i="2"/>
  <c r="AF30" i="2"/>
  <c r="AG34" i="2"/>
  <c r="AF34" i="2"/>
  <c r="AG42" i="2"/>
  <c r="AF42" i="2"/>
  <c r="AG57" i="2"/>
  <c r="AF57" i="2"/>
  <c r="AG67" i="2"/>
  <c r="AF67" i="2"/>
  <c r="AG69" i="2"/>
  <c r="AF69" i="2"/>
  <c r="AG44" i="2"/>
  <c r="AF44" i="2"/>
  <c r="AG22" i="2"/>
  <c r="AF22" i="2"/>
  <c r="AG56" i="2"/>
  <c r="AF56" i="2"/>
  <c r="AG54" i="2"/>
  <c r="AF54" i="2"/>
  <c r="AF21" i="2"/>
  <c r="AG21" i="2"/>
  <c r="AG25" i="2"/>
  <c r="AF25" i="2"/>
  <c r="AG52" i="2"/>
  <c r="AF52" i="2"/>
  <c r="AG37" i="2"/>
  <c r="AF37" i="2"/>
  <c r="AF48" i="2"/>
  <c r="AG48" i="2"/>
  <c r="AG60" i="2"/>
  <c r="AF60" i="2"/>
  <c r="AF31" i="2"/>
  <c r="AG31" i="2"/>
  <c r="AF46" i="2"/>
  <c r="AG46" i="2"/>
  <c r="AF65" i="2"/>
  <c r="AG65" i="2"/>
  <c r="AG16" i="2"/>
  <c r="AF16" i="2"/>
  <c r="AF35" i="2"/>
  <c r="AG35" i="2"/>
  <c r="AG20" i="2"/>
  <c r="AF20" i="2"/>
  <c r="AG24" i="2"/>
  <c r="AF24" i="2"/>
  <c r="AF28" i="2"/>
  <c r="AG28" i="2"/>
  <c r="AG32" i="2"/>
  <c r="AF32" i="2"/>
  <c r="AG47" i="2"/>
  <c r="AF47" i="2"/>
  <c r="AF58" i="2"/>
  <c r="AG58" i="2"/>
  <c r="AF68" i="2"/>
  <c r="AF33" i="2"/>
  <c r="AG53" i="2"/>
  <c r="AF23" i="2"/>
  <c r="AF43" i="2"/>
  <c r="AG61" i="2"/>
  <c r="AG73" i="2"/>
  <c r="AD73" i="1"/>
  <c r="AC73" i="1"/>
  <c r="AE73" i="1" s="1"/>
  <c r="AD72" i="1"/>
  <c r="AC72" i="1"/>
  <c r="AE72" i="1" s="1"/>
  <c r="AD71" i="1"/>
  <c r="AE71" i="1" s="1"/>
  <c r="AC71" i="1"/>
  <c r="AD70" i="1"/>
  <c r="AC70" i="1"/>
  <c r="AE70" i="1" s="1"/>
  <c r="AD69" i="1"/>
  <c r="AC69" i="1"/>
  <c r="AD68" i="1"/>
  <c r="AC68" i="1"/>
  <c r="AE68" i="1" s="1"/>
  <c r="AD67" i="1"/>
  <c r="AC67" i="1"/>
  <c r="AE67" i="1" s="1"/>
  <c r="AD66" i="1"/>
  <c r="AC66" i="1"/>
  <c r="AE66" i="1" s="1"/>
  <c r="AD65" i="1"/>
  <c r="AC65" i="1"/>
  <c r="AE65" i="1" s="1"/>
  <c r="AD64" i="1"/>
  <c r="AC64" i="1"/>
  <c r="AD63" i="1"/>
  <c r="AC63" i="1"/>
  <c r="AD62" i="1"/>
  <c r="AC62" i="1"/>
  <c r="AC55" i="1"/>
  <c r="AD55" i="1"/>
  <c r="AC43" i="1"/>
  <c r="AD43" i="1"/>
  <c r="AC36" i="1"/>
  <c r="AD36" i="1"/>
  <c r="AC31" i="1"/>
  <c r="AD31" i="1"/>
  <c r="AC24" i="1"/>
  <c r="AD24" i="1"/>
  <c r="AC19" i="1"/>
  <c r="AD19" i="1"/>
  <c r="AG74" i="6" l="1"/>
  <c r="C74" i="6" s="1"/>
  <c r="AF26" i="6"/>
  <c r="AF50" i="6"/>
  <c r="B50" i="6" s="1"/>
  <c r="AF38" i="6"/>
  <c r="B38" i="6" s="1"/>
  <c r="C26" i="6"/>
  <c r="AG62" i="6"/>
  <c r="C62" i="6" s="1"/>
  <c r="AG50" i="6"/>
  <c r="C50" i="6" s="1"/>
  <c r="AG38" i="6"/>
  <c r="C38" i="6" s="1"/>
  <c r="AF62" i="6"/>
  <c r="B62" i="6" s="1"/>
  <c r="AF38" i="5"/>
  <c r="B38" i="5" s="1"/>
  <c r="AG62" i="5"/>
  <c r="C62" i="5" s="1"/>
  <c r="AF62" i="5"/>
  <c r="B62" i="5" s="1"/>
  <c r="AG38" i="5"/>
  <c r="C38" i="5" s="1"/>
  <c r="AG26" i="5"/>
  <c r="B26" i="5"/>
  <c r="AF76" i="5"/>
  <c r="AF50" i="5"/>
  <c r="B50" i="5" s="1"/>
  <c r="AG50" i="5"/>
  <c r="C50" i="5" s="1"/>
  <c r="AF74" i="5"/>
  <c r="B74" i="5" s="1"/>
  <c r="C26" i="4"/>
  <c r="AF50" i="4"/>
  <c r="B50" i="4" s="1"/>
  <c r="AG50" i="4"/>
  <c r="C50" i="4" s="1"/>
  <c r="AF74" i="4"/>
  <c r="B74" i="4" s="1"/>
  <c r="AG38" i="4"/>
  <c r="C38" i="4" s="1"/>
  <c r="AG62" i="4"/>
  <c r="C62" i="4" s="1"/>
  <c r="AF38" i="4"/>
  <c r="B38" i="4" s="1"/>
  <c r="AF26" i="4"/>
  <c r="AF62" i="4"/>
  <c r="B62" i="4" s="1"/>
  <c r="AF62" i="3"/>
  <c r="B62" i="3" s="1"/>
  <c r="AF26" i="3"/>
  <c r="C26" i="3"/>
  <c r="AF50" i="3"/>
  <c r="B50" i="3" s="1"/>
  <c r="AF74" i="3"/>
  <c r="B74" i="3" s="1"/>
  <c r="AG50" i="3"/>
  <c r="C50" i="3" s="1"/>
  <c r="AF38" i="3"/>
  <c r="B38" i="3" s="1"/>
  <c r="AG38" i="3"/>
  <c r="C38" i="3" s="1"/>
  <c r="AF62" i="2"/>
  <c r="B62" i="2" s="1"/>
  <c r="AF50" i="2"/>
  <c r="B50" i="2" s="1"/>
  <c r="AG38" i="2"/>
  <c r="C38" i="2" s="1"/>
  <c r="AF26" i="2"/>
  <c r="AF38" i="2"/>
  <c r="B38" i="2" s="1"/>
  <c r="AG26" i="2"/>
  <c r="AG62" i="2"/>
  <c r="C62" i="2" s="1"/>
  <c r="AG50" i="2"/>
  <c r="C50" i="2" s="1"/>
  <c r="AF74" i="2"/>
  <c r="B74" i="2" s="1"/>
  <c r="AG74" i="2"/>
  <c r="C74" i="2" s="1"/>
  <c r="AE69" i="1"/>
  <c r="AF66" i="1"/>
  <c r="AG66" i="1"/>
  <c r="AE64" i="1"/>
  <c r="AG68" i="1"/>
  <c r="AF68" i="1"/>
  <c r="AG69" i="1"/>
  <c r="AF69" i="1"/>
  <c r="AG67" i="1"/>
  <c r="AF67" i="1"/>
  <c r="AG65" i="1"/>
  <c r="AF65" i="1"/>
  <c r="AG70" i="1"/>
  <c r="AF70" i="1"/>
  <c r="AG71" i="1"/>
  <c r="AF71" i="1"/>
  <c r="AF72" i="1"/>
  <c r="AG72" i="1"/>
  <c r="AG73" i="1"/>
  <c r="AF73" i="1"/>
  <c r="AE55" i="1"/>
  <c r="AE43" i="1"/>
  <c r="AG43" i="1" s="1"/>
  <c r="AE36" i="1"/>
  <c r="AF36" i="1" s="1"/>
  <c r="AE31" i="1"/>
  <c r="AF31" i="1" s="1"/>
  <c r="AE24" i="1"/>
  <c r="AF24" i="1" s="1"/>
  <c r="AE19" i="1"/>
  <c r="AG19" i="1" s="1"/>
  <c r="AD16" i="1"/>
  <c r="AD17" i="1"/>
  <c r="AD18" i="1"/>
  <c r="AD20" i="1"/>
  <c r="AD21" i="1"/>
  <c r="AD22" i="1"/>
  <c r="AD23" i="1"/>
  <c r="AD25" i="1"/>
  <c r="AD26" i="1"/>
  <c r="AD27" i="1"/>
  <c r="AD28" i="1"/>
  <c r="AD29" i="1"/>
  <c r="AD30" i="1"/>
  <c r="AD32" i="1"/>
  <c r="AD33" i="1"/>
  <c r="AD34" i="1"/>
  <c r="AD35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74" i="1"/>
  <c r="AC17" i="1"/>
  <c r="AC18" i="1"/>
  <c r="AC20" i="1"/>
  <c r="AC21" i="1"/>
  <c r="AC22" i="1"/>
  <c r="AC23" i="1"/>
  <c r="AC25" i="1"/>
  <c r="AC26" i="1"/>
  <c r="AC27" i="1"/>
  <c r="AC28" i="1"/>
  <c r="AC29" i="1"/>
  <c r="AC30" i="1"/>
  <c r="AC32" i="1"/>
  <c r="AC33" i="1"/>
  <c r="AC34" i="1"/>
  <c r="AC35" i="1"/>
  <c r="AC37" i="1"/>
  <c r="AC38" i="1"/>
  <c r="AC39" i="1"/>
  <c r="AC40" i="1"/>
  <c r="AC41" i="1"/>
  <c r="AC42" i="1"/>
  <c r="AC44" i="1"/>
  <c r="AC45" i="1"/>
  <c r="AC46" i="1"/>
  <c r="AC47" i="1"/>
  <c r="AC48" i="1"/>
  <c r="AC49" i="1"/>
  <c r="AC50" i="1"/>
  <c r="AC51" i="1"/>
  <c r="AC52" i="1"/>
  <c r="AC53" i="1"/>
  <c r="AC54" i="1"/>
  <c r="AC56" i="1"/>
  <c r="AC57" i="1"/>
  <c r="AC58" i="1"/>
  <c r="AC59" i="1"/>
  <c r="AC60" i="1"/>
  <c r="AC61" i="1"/>
  <c r="AC74" i="1"/>
  <c r="AC16" i="1"/>
  <c r="AG76" i="6" l="1"/>
  <c r="AF76" i="6"/>
  <c r="B26" i="6"/>
  <c r="AG76" i="5"/>
  <c r="C26" i="5"/>
  <c r="AF76" i="4"/>
  <c r="B26" i="4"/>
  <c r="AG76" i="4"/>
  <c r="AG76" i="3"/>
  <c r="AF76" i="3"/>
  <c r="B26" i="3"/>
  <c r="B26" i="2"/>
  <c r="AF76" i="2"/>
  <c r="AG76" i="2"/>
  <c r="C26" i="2"/>
  <c r="AG64" i="1"/>
  <c r="AF64" i="1"/>
  <c r="AG55" i="1"/>
  <c r="AF55" i="1"/>
  <c r="AG31" i="1"/>
  <c r="AF74" i="1"/>
  <c r="AG74" i="1"/>
  <c r="AE44" i="1"/>
  <c r="AG44" i="1" s="1"/>
  <c r="AE53" i="1"/>
  <c r="AG53" i="1" s="1"/>
  <c r="AE41" i="1"/>
  <c r="AF41" i="1" s="1"/>
  <c r="AE42" i="1"/>
  <c r="AF42" i="1" s="1"/>
  <c r="AF43" i="1"/>
  <c r="AG36" i="1"/>
  <c r="AE29" i="1"/>
  <c r="AG29" i="1" s="1"/>
  <c r="AG24" i="1"/>
  <c r="AF19" i="1"/>
  <c r="AE49" i="1"/>
  <c r="AE22" i="1"/>
  <c r="AE56" i="1"/>
  <c r="AE54" i="1"/>
  <c r="AE60" i="1"/>
  <c r="AE58" i="1"/>
  <c r="AE57" i="1"/>
  <c r="AE52" i="1"/>
  <c r="AE47" i="1"/>
  <c r="AE35" i="1"/>
  <c r="AE23" i="1"/>
  <c r="AE46" i="1"/>
  <c r="AE34" i="1"/>
  <c r="AE45" i="1"/>
  <c r="AE33" i="1"/>
  <c r="AE32" i="1"/>
  <c r="AE30" i="1"/>
  <c r="AE40" i="1"/>
  <c r="AE28" i="1"/>
  <c r="AE61" i="1"/>
  <c r="AE59" i="1"/>
  <c r="AE48" i="1"/>
  <c r="AE37" i="1"/>
  <c r="AE25" i="1"/>
  <c r="AE21" i="1"/>
  <c r="AE16" i="1"/>
  <c r="AE18" i="1"/>
  <c r="AE20" i="1"/>
  <c r="AE17" i="1"/>
  <c r="AF44" i="1" l="1"/>
  <c r="AF53" i="1"/>
  <c r="AG42" i="1"/>
  <c r="AG41" i="1"/>
  <c r="AF29" i="1"/>
  <c r="AF60" i="1"/>
  <c r="AG60" i="1"/>
  <c r="AG59" i="1"/>
  <c r="AF59" i="1"/>
  <c r="AG47" i="1"/>
  <c r="AF47" i="1"/>
  <c r="AF61" i="1"/>
  <c r="AG61" i="1"/>
  <c r="AF28" i="1"/>
  <c r="AG28" i="1"/>
  <c r="AG52" i="1"/>
  <c r="AF52" i="1"/>
  <c r="AG40" i="1"/>
  <c r="AF40" i="1"/>
  <c r="AG17" i="1"/>
  <c r="AF17" i="1"/>
  <c r="AG30" i="1"/>
  <c r="AF30" i="1"/>
  <c r="AG57" i="1"/>
  <c r="AF57" i="1"/>
  <c r="AG20" i="1"/>
  <c r="AF20" i="1"/>
  <c r="AF18" i="1"/>
  <c r="AG18" i="1"/>
  <c r="AG56" i="1"/>
  <c r="AF56" i="1"/>
  <c r="AG49" i="1"/>
  <c r="AF49" i="1"/>
  <c r="AG32" i="1"/>
  <c r="AF32" i="1"/>
  <c r="AF33" i="1"/>
  <c r="AG33" i="1"/>
  <c r="AG45" i="1"/>
  <c r="AF45" i="1"/>
  <c r="AG54" i="1"/>
  <c r="AF54" i="1"/>
  <c r="AF21" i="1"/>
  <c r="AG21" i="1"/>
  <c r="AG34" i="1"/>
  <c r="AF34" i="1"/>
  <c r="AF25" i="1"/>
  <c r="AG25" i="1"/>
  <c r="AG46" i="1"/>
  <c r="AF46" i="1"/>
  <c r="AG37" i="1"/>
  <c r="AF37" i="1"/>
  <c r="AG23" i="1"/>
  <c r="AF23" i="1"/>
  <c r="AG22" i="1"/>
  <c r="AF22" i="1"/>
  <c r="AG48" i="1"/>
  <c r="AF48" i="1"/>
  <c r="AG35" i="1"/>
  <c r="AF35" i="1"/>
  <c r="AG58" i="1"/>
  <c r="AF58" i="1"/>
  <c r="AG16" i="1"/>
  <c r="AF16" i="1"/>
  <c r="AG62" i="1" l="1"/>
  <c r="AF62" i="1"/>
  <c r="C74" i="1"/>
  <c r="AF50" i="1"/>
  <c r="B50" i="1" s="1"/>
  <c r="AG50" i="1"/>
  <c r="C50" i="1" s="1"/>
  <c r="AF38" i="1"/>
  <c r="B38" i="1" s="1"/>
  <c r="AG38" i="1"/>
  <c r="C38" i="1" s="1"/>
  <c r="AF26" i="1"/>
  <c r="B26" i="1" s="1"/>
  <c r="AG26" i="1"/>
  <c r="B74" i="1"/>
  <c r="B62" i="1" l="1"/>
  <c r="AF76" i="1"/>
  <c r="C62" i="1"/>
  <c r="AG76" i="1"/>
  <c r="C26" i="1"/>
</calcChain>
</file>

<file path=xl/sharedStrings.xml><?xml version="1.0" encoding="utf-8"?>
<sst xmlns="http://schemas.openxmlformats.org/spreadsheetml/2006/main" count="475" uniqueCount="65">
  <si>
    <r>
      <rPr>
        <sz val="10"/>
        <rFont val="Bookman Old Style"/>
        <family val="1"/>
      </rPr>
      <t>Indicator</t>
    </r>
  </si>
  <si>
    <r>
      <rPr>
        <sz val="10"/>
        <rFont val="Bookman Old Style"/>
        <family val="1"/>
      </rPr>
      <t>Yes</t>
    </r>
  </si>
  <si>
    <r>
      <rPr>
        <sz val="10"/>
        <rFont val="Bookman Old Style"/>
        <family val="1"/>
      </rPr>
      <t>No</t>
    </r>
  </si>
  <si>
    <r>
      <rPr>
        <sz val="10"/>
        <rFont val="Bookman Old Style"/>
        <family val="1"/>
      </rPr>
      <t>Remarks/Evidence</t>
    </r>
  </si>
  <si>
    <r>
      <rPr>
        <sz val="10"/>
        <rFont val="Bookman Old Style"/>
        <family val="1"/>
      </rPr>
      <t>Strengths:</t>
    </r>
  </si>
  <si>
    <r>
      <rPr>
        <sz val="10"/>
        <rFont val="Bookman Old Style"/>
        <family val="1"/>
      </rPr>
      <t>Areas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Improvement:</t>
    </r>
  </si>
  <si>
    <r>
      <rPr>
        <sz val="10"/>
        <rFont val="Bookman Old Style"/>
        <family val="1"/>
      </rPr>
      <t>Agreed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Next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(Next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Quarter):</t>
    </r>
  </si>
  <si>
    <t>School:</t>
  </si>
  <si>
    <r>
      <rPr>
        <sz val="10"/>
        <rFont val="Bookman Old Style"/>
        <family val="1"/>
      </rPr>
      <t>Quarter:</t>
    </r>
    <r>
      <rPr>
        <sz val="10"/>
        <rFont val="Times New Roman"/>
        <family val="1"/>
      </rPr>
      <t xml:space="preserve">    </t>
    </r>
  </si>
  <si>
    <r>
      <rPr>
        <sz val="10"/>
        <rFont val="Bookman Old Style"/>
        <family val="1"/>
      </rPr>
      <t>Monitored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by:</t>
    </r>
    <r>
      <rPr>
        <sz val="10"/>
        <rFont val="Times New Roman"/>
        <family val="1"/>
      </rPr>
      <t xml:space="preserve">   </t>
    </r>
  </si>
  <si>
    <t>Republic of the Philippines</t>
  </si>
  <si>
    <t>Department of Education</t>
  </si>
  <si>
    <t>SCHOOLS DIVISION OF MANDAUE CITY</t>
  </si>
  <si>
    <t>Prepared by:</t>
  </si>
  <si>
    <t>Noted by:</t>
  </si>
  <si>
    <r>
      <rPr>
        <sz val="9"/>
        <rFont val="Bookman Old Style"/>
        <family val="1"/>
      </rPr>
      <t>Indicator</t>
    </r>
  </si>
  <si>
    <t>SUMMARY OF FINDINGS</t>
  </si>
  <si>
    <t>School Head</t>
  </si>
  <si>
    <t>LEARNER DEVELOPMENT AND PROTECTION MONITORING CHECKLIST</t>
  </si>
  <si>
    <t>A. IDENTIFY (Early Identification of At-Risk Learners)</t>
  </si>
  <si>
    <r>
      <rPr>
        <sz val="9"/>
        <rFont val="Bookman Old Style"/>
        <family val="1"/>
      </rPr>
      <t>1.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Attendance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(SF2),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academic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(SF5),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behavior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data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regularly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reviewed</t>
    </r>
  </si>
  <si>
    <r>
      <rPr>
        <sz val="9"/>
        <rFont val="Bookman Old Style"/>
        <family val="1"/>
      </rPr>
      <t>2.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Teachers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maintain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classroom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tracking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sheets</t>
    </r>
  </si>
  <si>
    <r>
      <rPr>
        <sz val="9"/>
        <rFont val="Bookman Old Style"/>
        <family val="1"/>
      </rPr>
      <t>3.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School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has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master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list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of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at-risk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</si>
  <si>
    <r>
      <rPr>
        <sz val="9"/>
        <rFont val="Bookman Old Style"/>
        <family val="1"/>
      </rPr>
      <t>4.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At-risk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profiled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(academic,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behavioral,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socio-economic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factors)</t>
    </r>
  </si>
  <si>
    <r>
      <rPr>
        <sz val="9"/>
        <rFont val="Bookman Old Style"/>
        <family val="1"/>
      </rPr>
      <t>5.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Root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cause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analysis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conducted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for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identified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</si>
  <si>
    <r>
      <rPr>
        <sz val="9"/>
        <rFont val="Bookman Old Style"/>
        <family val="1"/>
      </rPr>
      <t>6.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School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Tracking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Team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(SLTT)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organized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functional</t>
    </r>
  </si>
  <si>
    <t>B. SUPPORT (Targeted Interventions &amp; Differentiated Instruction)</t>
  </si>
  <si>
    <r>
      <rPr>
        <sz val="9"/>
        <rFont val="Bookman Old Style"/>
        <family val="1"/>
      </rPr>
      <t>7.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Targeted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remediation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programs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implemented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(not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general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review)</t>
    </r>
  </si>
  <si>
    <r>
      <rPr>
        <sz val="9"/>
        <rFont val="Bookman Old Style"/>
        <family val="1"/>
      </rPr>
      <t>8.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grouped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based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specific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gaps</t>
    </r>
  </si>
  <si>
    <r>
      <rPr>
        <sz val="9"/>
        <rFont val="Bookman Old Style"/>
        <family val="1"/>
      </rPr>
      <t>9.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Differentiated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instruction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strategies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evident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teaching</t>
    </r>
  </si>
  <si>
    <r>
      <rPr>
        <sz val="9"/>
        <rFont val="Bookman Old Style"/>
        <family val="1"/>
      </rPr>
      <t>10.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Peer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tutoring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buddy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system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implemented</t>
    </r>
  </si>
  <si>
    <r>
      <rPr>
        <sz val="9"/>
        <rFont val="Bookman Old Style"/>
        <family val="1"/>
      </rPr>
      <t>11.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Counseling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psychosocial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support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provided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when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needed</t>
    </r>
  </si>
  <si>
    <r>
      <rPr>
        <sz val="9"/>
        <rFont val="Bookman Old Style"/>
        <family val="1"/>
      </rPr>
      <t>12.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Intervention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plans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documented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learner/group</t>
    </r>
  </si>
  <si>
    <r>
      <rPr>
        <sz val="9"/>
        <rFont val="Bookman Old Style"/>
        <family val="1"/>
      </rPr>
      <t>13.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Appropriate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contextualized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materials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used</t>
    </r>
  </si>
  <si>
    <t>C. ENGAGE (Safe, Inclusive, and Supportive Environment)</t>
  </si>
  <si>
    <r>
      <rPr>
        <sz val="9"/>
        <rFont val="Bookman Old Style"/>
        <family val="1"/>
      </rPr>
      <t>14.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SEL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(Social-Emotional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Learning)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integrated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daily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lessons</t>
    </r>
  </si>
  <si>
    <r>
      <rPr>
        <sz val="9"/>
        <rFont val="Bookman Old Style"/>
        <family val="1"/>
      </rPr>
      <t>15.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Teachers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use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strategies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that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develop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self-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awareness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relationships</t>
    </r>
  </si>
  <si>
    <r>
      <rPr>
        <sz val="9"/>
        <rFont val="Bookman Old Style"/>
        <family val="1"/>
      </rPr>
      <t>16.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Classroom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environment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promotes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respect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inclusivity</t>
    </r>
  </si>
  <si>
    <r>
      <rPr>
        <sz val="9"/>
        <rFont val="Bookman Old Style"/>
        <family val="1"/>
      </rPr>
      <t>17.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Positive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discipline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practices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observed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(no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punitive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approach)</t>
    </r>
  </si>
  <si>
    <r>
      <rPr>
        <sz val="9"/>
        <rFont val="Bookman Old Style"/>
        <family val="1"/>
      </rPr>
      <t>18.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Child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Protection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Committee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(CPC)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active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functional</t>
    </r>
  </si>
  <si>
    <r>
      <rPr>
        <sz val="9"/>
        <rFont val="Bookman Old Style"/>
        <family val="1"/>
      </rPr>
      <t>19.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Anti-bullying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child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protection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programs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implemented</t>
    </r>
  </si>
  <si>
    <r>
      <rPr>
        <sz val="9"/>
        <rFont val="Bookman Old Style"/>
        <family val="1"/>
      </rPr>
      <t>20.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given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opportunities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to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express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ideas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feelings</t>
    </r>
  </si>
  <si>
    <t>D. MONITOR (Tracking Progress &amp; Adjusting Interventions)</t>
  </si>
  <si>
    <r>
      <rPr>
        <sz val="9"/>
        <rFont val="Bookman Old Style"/>
        <family val="1"/>
      </rPr>
      <t>21.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Monthly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monitoring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of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attendance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performance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conducted</t>
    </r>
  </si>
  <si>
    <r>
      <rPr>
        <sz val="9"/>
        <rFont val="Bookman Old Style"/>
        <family val="1"/>
      </rPr>
      <t>22.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tracking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records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regularly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updated</t>
    </r>
  </si>
  <si>
    <r>
      <rPr>
        <sz val="9"/>
        <rFont val="Bookman Old Style"/>
        <family val="1"/>
      </rPr>
      <t>23.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SLTT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conducts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quarterly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review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meetings</t>
    </r>
  </si>
  <si>
    <r>
      <rPr>
        <sz val="9"/>
        <rFont val="Bookman Old Style"/>
        <family val="1"/>
      </rPr>
      <t>24.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Interventions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adjusted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based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progress</t>
    </r>
  </si>
  <si>
    <r>
      <rPr>
        <sz val="9"/>
        <rFont val="Bookman Old Style"/>
        <family val="1"/>
      </rPr>
      <t>25.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Formative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assessments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used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to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track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improvement</t>
    </r>
  </si>
  <si>
    <r>
      <rPr>
        <sz val="9"/>
        <rFont val="Bookman Old Style"/>
        <family val="1"/>
      </rPr>
      <t>26.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Reduction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number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of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at-risk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monitored</t>
    </r>
  </si>
  <si>
    <t>E. COLLABORATE (Home–School–Community Partnership)</t>
  </si>
  <si>
    <r>
      <rPr>
        <sz val="9"/>
        <rFont val="Bookman Old Style"/>
        <family val="1"/>
      </rPr>
      <t>27.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Parents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regularly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informed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of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progress</t>
    </r>
  </si>
  <si>
    <r>
      <rPr>
        <sz val="9"/>
        <rFont val="Bookman Old Style"/>
        <family val="1"/>
      </rPr>
      <t>28.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Parent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conferences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for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at-risk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conducted</t>
    </r>
  </si>
  <si>
    <r>
      <rPr>
        <sz val="9"/>
        <rFont val="Bookman Old Style"/>
        <family val="1"/>
      </rPr>
      <t>29.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Home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visitation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implemented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for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frequent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absentees</t>
    </r>
  </si>
  <si>
    <r>
      <rPr>
        <sz val="9"/>
        <rFont val="Bookman Old Style"/>
        <family val="1"/>
      </rPr>
      <t>30.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School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coordinates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with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barangay/community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stakeholders</t>
    </r>
  </si>
  <si>
    <r>
      <rPr>
        <sz val="9"/>
        <rFont val="Bookman Old Style"/>
        <family val="1"/>
      </rPr>
      <t>31.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LAC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sessions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discuss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learner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cases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interventions</t>
    </r>
  </si>
  <si>
    <r>
      <rPr>
        <sz val="9"/>
        <rFont val="Bookman Old Style"/>
        <family val="1"/>
      </rPr>
      <t>32.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Best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practices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documented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and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shared</t>
    </r>
  </si>
  <si>
    <t>Need to be updated</t>
  </si>
  <si>
    <t>RUFINO T. TUDLASAN PhD</t>
  </si>
  <si>
    <t>Education Program Supervisor</t>
  </si>
  <si>
    <t>PSDS, WEST 1 Secondary</t>
  </si>
  <si>
    <t>MARY JEAN B. CODINERA DevEdD</t>
  </si>
  <si>
    <t>TABOK ELEMENTARY SCHOOL 1</t>
  </si>
  <si>
    <t xml:space="preserve">TERM 2 </t>
  </si>
  <si>
    <r>
      <t>MARY JEAN B. CODI</t>
    </r>
    <r>
      <rPr>
        <sz val="10"/>
        <color rgb="FF000000"/>
        <rFont val="Aptos Narrow"/>
        <family val="2"/>
      </rPr>
      <t>Ñ</t>
    </r>
    <r>
      <rPr>
        <sz val="10"/>
        <color rgb="FF000000"/>
        <rFont val="Times New Roman"/>
        <family val="1"/>
      </rPr>
      <t xml:space="preserve">ERA </t>
    </r>
  </si>
  <si>
    <t>NANCY C. LUCENAS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</si>
</sst>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1">
    <font>
      <sz val="10"/>
      <color rgb="FF000000"/>
      <name val="Times New Roman"/>
      <charset val="204"/>
    </font>
    <font>
      <b/>
      <sz val="10"/>
      <name val="Bookman Old Style"/>
      <family val="1"/>
    </font>
    <font>
      <sz val="10"/>
      <name val="Segoe UI Symbol"/>
      <family val="2"/>
    </font>
    <font>
      <sz val="10"/>
      <name val="Bookman Old Style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Bookman Old Style"/>
      <family val="1"/>
    </font>
    <font>
      <sz val="10"/>
      <name val="Times New Roman"/>
      <family val="1"/>
      <charset val="204"/>
    </font>
    <font>
      <b/>
      <sz val="10"/>
      <name val="Bookman Old Style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8"/>
      <name val="Bookman Old Style"/>
      <family val="1"/>
    </font>
    <font>
      <sz val="12"/>
      <color rgb="FF000000"/>
      <name val="Old English Text MT"/>
      <family val="4"/>
    </font>
    <font>
      <sz val="18"/>
      <color rgb="FF000000"/>
      <name val="Old English Text MT"/>
      <family val="4"/>
    </font>
    <font>
      <b/>
      <sz val="11"/>
      <color rgb="FF000000"/>
      <name val="Times New Roman"/>
      <family val="1"/>
    </font>
    <font>
      <sz val="9"/>
      <name val="Bookman Old Style"/>
      <family val="1"/>
    </font>
    <font>
      <sz val="9"/>
      <name val="Times New Roman"/>
      <family val="1"/>
    </font>
    <font>
      <b/>
      <sz val="9"/>
      <name val="Bookman Old Style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rgb="FF000000"/>
      <name val="Aptos Narrow"/>
      <family val="2"/>
    </font>
    <font>
      <name val="Times New Roman"/>
      <charset val="204"/>
      <color rgb="FF000000"/>
      <sz val="10"/>
    </font>
    <font>
      <name val="Bookman Old Style"/>
      <b val="1"/>
      <sz val="10"/>
    </font>
    <font>
      <name val="Segoe UI Symbol"/>
      <sz val="10"/>
    </font>
    <font>
      <name val="Bookman Old Style"/>
      <family val="1"/>
      <sz val="10"/>
    </font>
    <font>
      <name val="Times New Roman"/>
      <family val="1"/>
      <sz val="10"/>
    </font>
    <font>
      <name val="Times New Roman"/>
      <family val="1"/>
      <sz val="11"/>
    </font>
    <font>
      <name val="Calibri"/>
      <family val="2"/>
      <sz val="11"/>
    </font>
    <font>
      <name val="Times New Roman"/>
      <family val="1"/>
      <b val="1"/>
      <color rgb="FF000000"/>
      <sz val="10"/>
    </font>
    <font>
      <name val="Bookman Old Style"/>
      <family val="1"/>
      <b val="1"/>
      <sz val="11"/>
    </font>
    <font>
      <name val="Times New Roman"/>
      <family val="1"/>
      <b val="1"/>
      <sz val="11"/>
    </font>
    <font>
      <name val="Times New Roman"/>
      <charset val="204"/>
      <family val="1"/>
      <sz val="10"/>
    </font>
    <font>
      <name val="Bookman Old Style"/>
      <family val="1"/>
      <b val="1"/>
      <sz val="10"/>
    </font>
    <font>
      <name val="Times New Roman"/>
      <family val="1"/>
      <b val="1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8"/>
    </font>
    <font>
      <name val="Bookman Old Style"/>
      <family val="1"/>
      <b val="1"/>
      <sz val="8"/>
    </font>
    <font>
      <name val="Times New Roman"/>
      <family val="1"/>
      <b val="1"/>
      <sz val="8"/>
    </font>
    <font>
      <name val="Old English Text MT"/>
      <family val="4"/>
      <color rgb="FF000000"/>
      <sz val="12"/>
    </font>
    <font>
      <name val="Old English Text MT"/>
      <family val="4"/>
      <color rgb="FF000000"/>
      <sz val="18"/>
    </font>
    <font>
      <name val="Times New Roman"/>
      <family val="1"/>
      <b val="1"/>
      <color rgb="FF000000"/>
      <sz val="11"/>
    </font>
    <font>
      <name val="Times New Roman"/>
      <family val="1"/>
      <color theme="0"/>
      <sz val="10"/>
    </font>
    <font>
      <name val="Times New Roman"/>
      <family val="1"/>
      <b val="1"/>
      <color theme="0"/>
      <sz val="10"/>
    </font>
    <font>
      <name val="Aptos Narrow"/>
      <family val="2"/>
      <b val="1"/>
      <color rgb="FF000000"/>
      <sz val="8"/>
    </font>
    <font>
      <name val="Aptos Narrow"/>
      <family val="2"/>
      <b val="1"/>
      <color rgb="FF000000"/>
      <sz val="6"/>
    </font>
    <font>
      <name val="Times New Roman"/>
      <family val="1"/>
      <b val="1"/>
      <color rgb="FF000000"/>
      <sz val="6"/>
    </font>
    <font>
      <name val="Times New Roman"/>
      <family val="1"/>
      <color theme="1"/>
      <sz val="10"/>
    </font>
    <font>
      <name val="Aptos Narrow"/>
      <family val="2"/>
      <b val="1"/>
      <color rgb="FF000000"/>
      <sz val="9"/>
    </font>
    <font>
      <name val="Times New Roman"/>
      <family val="1"/>
      <color rgb="FF000000"/>
      <sz val="8"/>
    </font>
    <font>
      <name val="Aptos Narrow"/>
      <family val="2"/>
      <color rgb="FF000000"/>
      <sz val="10"/>
    </font>
  </fonts>
  <fills count="8">
    <fill>
      <patternFill patternType="none"/>
    </fill>
    <fill>
      <patternFill patternType="gray125"/>
    </fill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5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center" wrapText="1" indent="6"/>
    </xf>
    <xf numFmtId="0" fontId="1" fillId="0" borderId="8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0" fillId="0" borderId="15" xfId="0" applyFont="1" applyBorder="1" applyAlignment="1" applyProtection="1">
      <alignment horizontal="left" vertical="center" wrapText="1"/>
      <protection locked="0"/>
    </xf>
    <xf numFmtId="0" fontId="0" fillId="0" borderId="15" xfId="0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top" wrapText="1"/>
    </xf>
    <xf numFmtId="0" fontId="0" fillId="0" borderId="17" xfId="0" applyBorder="1" applyAlignment="1" applyProtection="1">
      <alignment horizontal="left" vertical="center" wrapText="1"/>
      <protection locked="0"/>
    </xf>
    <xf numFmtId="0" fontId="10" fillId="0" borderId="17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8" fillId="0" borderId="0" xfId="0" applyFont="1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left" vertical="top"/>
      <protection hidden="1"/>
    </xf>
    <xf numFmtId="0" fontId="18" fillId="0" borderId="0" xfId="0" applyFont="1" applyAlignment="1">
      <alignment horizontal="left" vertical="top"/>
    </xf>
    <xf numFmtId="0" fontId="18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left" vertical="top"/>
    </xf>
    <xf numFmtId="0" fontId="14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4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10" xfId="0" applyFont="1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21" fillId="2" borderId="20" applyAlignment="1" pivotButton="0" quotePrefix="0" xfId="0" applyFont="1" applyFill="1" applyBorder="1">
      <alignment horizontal="left" vertical="top"/>
    </xf>
    <xf numFmtId="0" fontId="22" fillId="2" borderId="20" applyAlignment="1" pivotButton="0" quotePrefix="0" xfId="0" applyFont="1" applyFill="1" applyBorder="1">
      <alignment horizontal="left" vertical="top"/>
    </xf>
    <xf numFmtId="0" fontId="23" fillId="2" borderId="21" applyAlignment="1" pivotButton="0" quotePrefix="0" xfId="0" applyFont="1" applyFill="1" applyBorder="1">
      <alignment horizontal="center" vertical="top" wrapText="1"/>
    </xf>
    <xf numFmtId="0" fontId="24" fillId="2" borderId="20" applyAlignment="1" pivotButton="0" quotePrefix="0" xfId="0" applyFont="1" applyFill="1" applyBorder="1">
      <alignment horizontal="left" vertical="top"/>
    </xf>
    <xf numFmtId="0" fontId="21" fillId="2" borderId="20" applyAlignment="1" pivotButton="0" quotePrefix="0" xfId="0" applyFont="1" applyFill="1" applyBorder="1">
      <alignment horizontal="left" vertical="center" wrapText="1"/>
    </xf>
    <xf numFmtId="0" fontId="21" fillId="2" borderId="22" applyAlignment="1" pivotButton="0" quotePrefix="0" xfId="0" applyFont="1" applyFill="1" applyBorder="1">
      <alignment horizontal="left" vertical="top" wrapText="1"/>
    </xf>
    <xf numFmtId="0" fontId="21" fillId="2" borderId="24" applyAlignment="1" pivotButton="0" quotePrefix="0" xfId="0" applyFont="1" applyFill="1" applyBorder="1">
      <alignment horizontal="left" vertical="top" wrapText="1"/>
    </xf>
    <xf numFmtId="0" fontId="23" fillId="2" borderId="25" applyAlignment="1" pivotButton="0" quotePrefix="0" xfId="0" applyFont="1" applyFill="1" applyBorder="1">
      <alignment horizontal="center" vertical="top" wrapText="1"/>
    </xf>
    <xf numFmtId="0" fontId="31" fillId="2" borderId="27" applyAlignment="1" pivotButton="0" quotePrefix="0" xfId="0" applyFont="1" applyFill="1" applyBorder="1">
      <alignment horizontal="left" vertical="top" wrapText="1"/>
    </xf>
    <xf numFmtId="0" fontId="23" fillId="2" borderId="28" applyAlignment="1" pivotButton="0" quotePrefix="0" xfId="0" applyFont="1" applyFill="1" applyBorder="1">
      <alignment horizontal="center" vertical="top" wrapText="1"/>
    </xf>
    <xf numFmtId="0" fontId="22" fillId="2" borderId="30" applyAlignment="1" pivotButton="0" quotePrefix="0" xfId="0" applyFont="1" applyFill="1" applyBorder="1">
      <alignment horizontal="center" vertical="top" wrapText="1"/>
    </xf>
    <xf numFmtId="0" fontId="22" fillId="2" borderId="31" applyAlignment="1" pivotButton="0" quotePrefix="0" xfId="0" applyFont="1" applyFill="1" applyBorder="1">
      <alignment horizontal="center" vertical="top" wrapText="1"/>
    </xf>
    <xf numFmtId="0" fontId="22" fillId="2" borderId="32" applyAlignment="1" pivotButton="0" quotePrefix="0" xfId="0" applyFont="1" applyFill="1" applyBorder="1">
      <alignment horizontal="left" vertical="center" wrapText="1" indent="6"/>
    </xf>
    <xf numFmtId="0" fontId="21" fillId="2" borderId="27" applyAlignment="1" pivotButton="0" quotePrefix="0" xfId="0" applyFont="1" applyFill="1" applyBorder="1">
      <alignment horizontal="left" vertical="top" wrapText="1"/>
    </xf>
    <xf numFmtId="0" fontId="22" fillId="2" borderId="31" applyAlignment="1" pivotButton="0" quotePrefix="0" xfId="0" applyFont="1" applyFill="1" applyBorder="1">
      <alignment horizontal="left" vertical="top" wrapText="1" indent="1"/>
    </xf>
    <xf numFmtId="0" fontId="28" fillId="2" borderId="20" applyAlignment="1" pivotButton="0" quotePrefix="0" xfId="0" applyFont="1" applyFill="1" applyBorder="1">
      <alignment horizontal="left" vertical="center"/>
    </xf>
    <xf numFmtId="0" fontId="31" fillId="2" borderId="20" applyAlignment="1" pivotButton="0" quotePrefix="0" xfId="0" applyFont="1" applyFill="1" applyBorder="1">
      <alignment horizontal="left" vertical="top"/>
    </xf>
    <xf numFmtId="0" fontId="36" fillId="2" borderId="20" applyAlignment="1" pivotButton="0" quotePrefix="0" xfId="0" applyFont="1" applyFill="1" applyBorder="1">
      <alignment horizontal="left" vertical="center"/>
    </xf>
    <xf numFmtId="0" fontId="41" fillId="2" borderId="20" applyAlignment="1" pivotButton="0" quotePrefix="0" xfId="0" applyFont="1" applyFill="1" applyBorder="1">
      <alignment horizontal="center" vertical="center"/>
    </xf>
    <xf numFmtId="0" fontId="34" fillId="2" borderId="20" applyAlignment="1" pivotButton="0" quotePrefix="0" xfId="0" applyFont="1" applyFill="1" applyBorder="1">
      <alignment horizontal="left" vertical="top"/>
    </xf>
    <xf numFmtId="0" fontId="41" fillId="2" borderId="20" applyAlignment="1" applyProtection="1" pivotButton="0" quotePrefix="0" xfId="0" applyFont="1" applyFill="1" applyBorder="1">
      <alignment horizontal="center" vertical="center"/>
      <protection locked="0" hidden="0"/>
    </xf>
    <xf numFmtId="0" fontId="21" fillId="2" borderId="20" applyAlignment="1" applyProtection="1" pivotButton="0" quotePrefix="0" xfId="0" applyFont="1" applyFill="1" applyBorder="1">
      <alignment horizontal="left" vertical="top"/>
      <protection locked="0" hidden="0"/>
    </xf>
    <xf numFmtId="0" fontId="34" fillId="2" borderId="20" applyAlignment="1" applyProtection="1" pivotButton="0" quotePrefix="0" xfId="0" applyFont="1" applyFill="1" applyBorder="1">
      <alignment horizontal="center" vertical="center"/>
      <protection locked="0" hidden="0"/>
    </xf>
    <xf numFmtId="0" fontId="35" fillId="2" borderId="29" applyAlignment="1" applyProtection="1" pivotButton="0" quotePrefix="0" xfId="0" applyFont="1" applyFill="1" applyBorder="1">
      <alignment horizontal="left" vertical="center" wrapText="1"/>
      <protection locked="0" hidden="0"/>
    </xf>
    <xf numFmtId="0" fontId="35" fillId="2" borderId="23" applyAlignment="1" applyProtection="1" pivotButton="0" quotePrefix="0" xfId="0" applyFont="1" applyFill="1" applyBorder="1">
      <alignment horizontal="left" vertical="center" wrapText="1"/>
      <protection locked="0" hidden="0"/>
    </xf>
    <xf numFmtId="0" fontId="35" fillId="2" borderId="26" applyAlignment="1" applyProtection="1" pivotButton="0" quotePrefix="0" xfId="0" applyFont="1" applyFill="1" applyBorder="1">
      <alignment horizontal="left" vertical="center" wrapText="1"/>
      <protection locked="0" hidden="0"/>
    </xf>
    <xf numFmtId="0" fontId="21" fillId="2" borderId="29" applyAlignment="1" applyProtection="1" pivotButton="0" quotePrefix="0" xfId="0" applyFont="1" applyFill="1" applyBorder="1">
      <alignment horizontal="left" vertical="center" wrapText="1"/>
      <protection locked="0" hidden="0"/>
    </xf>
    <xf numFmtId="0" fontId="21" fillId="2" borderId="23" applyAlignment="1" applyProtection="1" pivotButton="0" quotePrefix="0" xfId="0" applyFont="1" applyFill="1" applyBorder="1">
      <alignment horizontal="left" vertical="center" wrapText="1"/>
      <protection locked="0" hidden="0"/>
    </xf>
    <xf numFmtId="0" fontId="21" fillId="2" borderId="26" applyAlignment="1" applyProtection="1" pivotButton="0" quotePrefix="0" xfId="0" applyFont="1" applyFill="1" applyBorder="1">
      <alignment horizontal="left" vertical="center" wrapText="1"/>
      <protection locked="0" hidden="0"/>
    </xf>
    <xf numFmtId="0" fontId="35" fillId="2" borderId="38" applyAlignment="1" applyProtection="1" pivotButton="0" quotePrefix="0" xfId="0" applyFont="1" applyFill="1" applyBorder="1">
      <alignment horizontal="left" vertical="center" wrapText="1"/>
      <protection locked="0" hidden="0"/>
    </xf>
    <xf numFmtId="0" fontId="21" fillId="2" borderId="38" applyAlignment="1" applyProtection="1" pivotButton="0" quotePrefix="0" xfId="0" applyFont="1" applyFill="1" applyBorder="1">
      <alignment horizontal="left" vertical="center" wrapText="1"/>
      <protection locked="0" hidden="0"/>
    </xf>
    <xf numFmtId="0" fontId="21" fillId="2" borderId="40" applyAlignment="1" pivotButton="0" quotePrefix="0" xfId="0" applyFont="1" applyFill="1" applyBorder="1">
      <alignment horizontal="left" vertical="top" wrapText="1"/>
    </xf>
    <xf numFmtId="0" fontId="21" fillId="2" borderId="39" applyAlignment="1" pivotButton="0" quotePrefix="0" xfId="0" applyFont="1" applyFill="1" applyBorder="1">
      <alignment horizontal="left" vertical="top" wrapText="1"/>
    </xf>
    <xf numFmtId="0" fontId="28" fillId="2" borderId="20" applyAlignment="1" pivotButton="0" quotePrefix="0" xfId="0" applyFont="1" applyFill="1" applyBorder="1">
      <alignment horizontal="center" vertical="top"/>
    </xf>
    <xf numFmtId="0" fontId="42" fillId="2" borderId="20" applyAlignment="1" applyProtection="1" pivotButton="0" quotePrefix="0" xfId="0" applyFont="1" applyFill="1" applyBorder="1">
      <alignment horizontal="left" vertical="top"/>
      <protection locked="0" hidden="0"/>
    </xf>
    <xf numFmtId="0" fontId="42" fillId="2" borderId="20" applyAlignment="1" applyProtection="1" pivotButton="0" quotePrefix="0" xfId="0" applyFont="1" applyFill="1" applyBorder="1">
      <alignment horizontal="left" vertical="top"/>
      <protection locked="1" hidden="1"/>
    </xf>
    <xf numFmtId="0" fontId="42" fillId="2" borderId="20" applyAlignment="1" pivotButton="0" quotePrefix="0" xfId="0" applyFont="1" applyFill="1" applyBorder="1">
      <alignment horizontal="left" vertical="top"/>
    </xf>
    <xf numFmtId="0" fontId="42" fillId="2" borderId="20" applyAlignment="1" applyProtection="1" pivotButton="0" quotePrefix="0" xfId="0" applyFont="1" applyFill="1" applyBorder="1">
      <alignment horizontal="center" vertical="center"/>
      <protection locked="1" hidden="1"/>
    </xf>
    <xf numFmtId="0" fontId="43" fillId="2" borderId="20" applyAlignment="1" applyProtection="1" pivotButton="0" quotePrefix="0" xfId="0" applyFont="1" applyFill="1" applyBorder="1">
      <alignment horizontal="center" vertical="center"/>
      <protection locked="1" hidden="1"/>
    </xf>
    <xf numFmtId="0" fontId="47" fillId="2" borderId="20" applyAlignment="1" pivotButton="0" quotePrefix="0" xfId="0" applyFont="1" applyFill="1" applyBorder="1">
      <alignment horizontal="left" vertical="top"/>
    </xf>
    <xf numFmtId="164" fontId="42" fillId="2" borderId="20" applyAlignment="1" applyProtection="1" pivotButton="0" quotePrefix="0" xfId="0" applyFont="1" applyFill="1" applyBorder="1">
      <alignment horizontal="left" vertical="top"/>
      <protection locked="1" hidden="1"/>
    </xf>
    <xf numFmtId="0" fontId="46" fillId="5" borderId="58" applyAlignment="1" applyProtection="1" pivotButton="0" quotePrefix="0" xfId="0" applyFont="1" applyFill="1" applyBorder="1">
      <alignment horizontal="center" vertical="center" wrapText="1"/>
      <protection locked="1" hidden="1"/>
    </xf>
    <xf numFmtId="0" fontId="46" fillId="5" borderId="44" applyAlignment="1" applyProtection="1" pivotButton="0" quotePrefix="0" xfId="0" applyFont="1" applyFill="1" applyBorder="1">
      <alignment horizontal="center" vertical="center" wrapText="1"/>
      <protection locked="1" hidden="1"/>
    </xf>
    <xf numFmtId="0" fontId="21" fillId="2" borderId="20" applyAlignment="1" applyProtection="1" pivotButton="0" quotePrefix="0" xfId="0" applyFont="1" applyFill="1" applyBorder="1">
      <alignment horizontal="left" vertical="top"/>
      <protection locked="1" hidden="1"/>
    </xf>
    <xf numFmtId="0" fontId="44" fillId="5" borderId="46" applyAlignment="1" applyProtection="1" pivotButton="0" quotePrefix="0" xfId="0" applyFont="1" applyFill="1" applyBorder="1">
      <alignment horizontal="center" vertical="center"/>
      <protection locked="1" hidden="1"/>
    </xf>
    <xf numFmtId="0" fontId="44" fillId="5" borderId="47" applyAlignment="1" applyProtection="1" pivotButton="0" quotePrefix="0" xfId="0" applyFont="1" applyFill="1" applyBorder="1">
      <alignment horizontal="center" vertical="center"/>
      <protection locked="1" hidden="1"/>
    </xf>
    <xf numFmtId="0" fontId="44" fillId="5" borderId="59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53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54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55" applyAlignment="1" applyProtection="1" pivotButton="0" quotePrefix="0" xfId="0" applyFont="1" applyFill="1" applyBorder="1">
      <alignment horizontal="center" vertical="center"/>
      <protection locked="1" hidden="1"/>
    </xf>
    <xf numFmtId="2" fontId="21" fillId="7" borderId="63" applyAlignment="1" applyProtection="1" pivotButton="0" quotePrefix="0" xfId="0" applyFont="1" applyFill="1" applyBorder="1">
      <alignment horizontal="center" vertical="center"/>
      <protection locked="1" hidden="1"/>
    </xf>
    <xf numFmtId="2" fontId="49" fillId="6" borderId="64" applyAlignment="1" applyProtection="1" pivotButton="0" quotePrefix="0" xfId="0" applyFont="1" applyFill="1" applyBorder="1">
      <alignment horizontal="center" vertical="center" wrapText="1"/>
      <protection locked="1" hidden="1"/>
    </xf>
    <xf numFmtId="2" fontId="49" fillId="6" borderId="63" applyAlignment="1" applyProtection="1" pivotButton="0" quotePrefix="0" xfId="0" applyFont="1" applyFill="1" applyBorder="1">
      <alignment horizontal="center" vertical="center" wrapText="1"/>
      <protection locked="1" hidden="1"/>
    </xf>
    <xf numFmtId="0" fontId="34" fillId="2" borderId="20" applyAlignment="1" applyProtection="1" pivotButton="0" quotePrefix="0" xfId="0" applyFont="1" applyFill="1" applyBorder="1">
      <alignment horizontal="left" vertical="top"/>
      <protection locked="1" hidden="1"/>
    </xf>
    <xf numFmtId="0" fontId="28" fillId="2" borderId="34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45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41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48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49" applyAlignment="1" applyProtection="1" pivotButton="0" quotePrefix="0" xfId="0" applyFont="1" applyFill="1" applyBorder="1">
      <alignment horizontal="center" vertical="center"/>
      <protection locked="1" hidden="1"/>
    </xf>
    <xf numFmtId="0" fontId="28" fillId="2" borderId="50" applyAlignment="1" applyProtection="1" pivotButton="0" quotePrefix="0" xfId="0" applyFont="1" applyFill="1" applyBorder="1">
      <alignment horizontal="center" vertical="center"/>
      <protection locked="1" hidden="1"/>
    </xf>
    <xf numFmtId="2" fontId="49" fillId="6" borderId="65" applyAlignment="1" applyProtection="1" pivotButton="0" quotePrefix="0" xfId="0" applyFont="1" applyFill="1" applyBorder="1">
      <alignment horizontal="center" vertical="center" wrapText="1"/>
      <protection locked="1" hidden="1"/>
    </xf>
    <xf numFmtId="2" fontId="49" fillId="6" borderId="68" applyAlignment="1" applyProtection="1" pivotButton="0" quotePrefix="0" xfId="0" applyFont="1" applyFill="1" applyBorder="1">
      <alignment horizontal="center" vertical="center" wrapText="1"/>
      <protection locked="1" hidden="1"/>
    </xf>
    <xf numFmtId="0" fontId="28" fillId="4" borderId="42" applyAlignment="1" applyProtection="1" pivotButton="0" quotePrefix="0" xfId="0" applyFont="1" applyFill="1" applyBorder="1">
      <alignment horizontal="center" vertical="center"/>
      <protection locked="1" hidden="1"/>
    </xf>
    <xf numFmtId="2" fontId="28" fillId="4" borderId="51" applyAlignment="1" applyProtection="1" pivotButton="0" quotePrefix="0" xfId="0" applyFont="1" applyFill="1" applyBorder="1">
      <alignment horizontal="center" vertical="center"/>
      <protection locked="1" hidden="1"/>
    </xf>
    <xf numFmtId="2" fontId="28" fillId="4" borderId="52" applyAlignment="1" applyProtection="1" pivotButton="0" quotePrefix="0" xfId="0" applyFont="1" applyFill="1" applyBorder="1">
      <alignment horizontal="center" vertical="center"/>
      <protection locked="1" hidden="1"/>
    </xf>
    <xf numFmtId="2" fontId="28" fillId="4" borderId="60" applyAlignment="1" applyProtection="1" pivotButton="0" quotePrefix="0" xfId="0" applyFont="1" applyFill="1" applyBorder="1">
      <alignment horizontal="center" vertical="center"/>
      <protection locked="1" hidden="1"/>
    </xf>
    <xf numFmtId="2" fontId="28" fillId="7" borderId="42" applyAlignment="1" applyProtection="1" pivotButton="0" quotePrefix="0" xfId="0" applyFont="1" applyFill="1" applyBorder="1">
      <alignment horizontal="center" vertical="center"/>
      <protection locked="1" hidden="1"/>
    </xf>
    <xf numFmtId="2" fontId="49" fillId="6" borderId="42" applyAlignment="1" applyProtection="1" pivotButton="0" quotePrefix="0" xfId="0" applyFont="1" applyFill="1" applyBorder="1">
      <alignment horizontal="center" vertical="center" wrapText="1"/>
      <protection locked="1" hidden="1"/>
    </xf>
    <xf numFmtId="0" fontId="48" fillId="6" borderId="66" applyAlignment="1" applyProtection="1" pivotButton="0" quotePrefix="0" xfId="0" applyFont="1" applyFill="1" applyBorder="1">
      <alignment horizontal="center" vertical="center" wrapText="1"/>
      <protection locked="1" hidden="1"/>
    </xf>
    <xf numFmtId="0" fontId="48" fillId="6" borderId="67" applyAlignment="1" applyProtection="1" pivotButton="0" quotePrefix="0" xfId="0" applyFont="1" applyFill="1" applyBorder="1">
      <alignment horizontal="center" vertical="center" wrapText="1"/>
      <protection locked="1" hidden="1"/>
    </xf>
    <xf numFmtId="0" fontId="46" fillId="5" borderId="43" applyAlignment="1" applyProtection="1" pivotButton="0" quotePrefix="0" xfId="0" applyFont="1" applyFill="1" applyBorder="1">
      <alignment horizontal="center" vertical="center" wrapText="1"/>
      <protection locked="1" hidden="1"/>
    </xf>
    <xf numFmtId="0" fontId="46" fillId="5" borderId="44" applyAlignment="1" applyProtection="1" pivotButton="0" quotePrefix="0" xfId="0" applyFont="1" applyFill="1" applyBorder="1">
      <alignment horizontal="center" vertical="center" wrapText="1"/>
      <protection locked="1" hidden="1"/>
    </xf>
    <xf numFmtId="0" fontId="45" fillId="7" borderId="61" applyAlignment="1" applyProtection="1" pivotButton="0" quotePrefix="0" xfId="0" applyFont="1" applyFill="1" applyBorder="1">
      <alignment horizontal="center" vertical="center" wrapText="1"/>
      <protection locked="1" hidden="1"/>
    </xf>
    <xf numFmtId="0" fontId="45" fillId="7" borderId="62" applyAlignment="1" applyProtection="1" pivotButton="0" quotePrefix="0" xfId="0" applyFont="1" applyFill="1" applyBorder="1">
      <alignment horizontal="center" vertical="center" wrapText="1"/>
      <protection locked="1" hidden="1"/>
    </xf>
    <xf numFmtId="0" fontId="41" fillId="2" borderId="20" applyAlignment="1" applyProtection="1" pivotButton="0" quotePrefix="0" xfId="0" applyFont="1" applyFill="1" applyBorder="1">
      <alignment horizontal="center" vertical="center"/>
      <protection locked="0" hidden="0"/>
    </xf>
    <xf numFmtId="0" fontId="34" fillId="2" borderId="20" applyAlignment="1" applyProtection="1" pivotButton="0" quotePrefix="0" xfId="0" applyFont="1" applyFill="1" applyBorder="1">
      <alignment horizontal="center" vertical="center"/>
      <protection locked="0" hidden="0"/>
    </xf>
    <xf numFmtId="0" fontId="28" fillId="5" borderId="56" applyAlignment="1" applyProtection="1" pivotButton="0" quotePrefix="0" xfId="0" applyFont="1" applyFill="1" applyBorder="1">
      <alignment horizontal="center" vertical="center"/>
      <protection locked="1" hidden="1"/>
    </xf>
    <xf numFmtId="0" fontId="28" fillId="5" borderId="57" applyAlignment="1" applyProtection="1" pivotButton="0" quotePrefix="0" xfId="0" applyFont="1" applyFill="1" applyBorder="1">
      <alignment horizontal="center" vertical="center"/>
      <protection locked="1" hidden="1"/>
    </xf>
    <xf numFmtId="0" fontId="21" fillId="2" borderId="20" applyAlignment="1" pivotButton="0" quotePrefix="0" xfId="0" applyFont="1" applyFill="1" applyBorder="1">
      <alignment horizontal="left" vertical="top"/>
    </xf>
    <xf numFmtId="0" fontId="39" fillId="2" borderId="20" applyAlignment="1" pivotButton="0" quotePrefix="0" xfId="0" applyFont="1" applyFill="1" applyBorder="1">
      <alignment horizontal="center" vertical="center"/>
    </xf>
    <xf numFmtId="0" fontId="40" fillId="2" borderId="20" applyAlignment="1" pivotButton="0" quotePrefix="0" xfId="0" applyFont="1" applyFill="1" applyBorder="1">
      <alignment horizontal="center" vertical="center"/>
    </xf>
    <xf numFmtId="0" fontId="41" fillId="2" borderId="20" applyAlignment="1" pivotButton="0" quotePrefix="0" xfId="0" applyFont="1" applyFill="1" applyBorder="1">
      <alignment horizontal="center" vertical="center"/>
    </xf>
    <xf numFmtId="0" fontId="28" fillId="2" borderId="20" applyAlignment="1" pivotButton="0" quotePrefix="0" xfId="0" applyFont="1" applyFill="1" applyBorder="1">
      <alignment horizontal="center" vertical="top"/>
    </xf>
    <xf numFmtId="0" fontId="41" fillId="2" borderId="37" applyAlignment="1" pivotButton="0" quotePrefix="0" xfId="0" applyFont="1" applyFill="1" applyBorder="1">
      <alignment horizontal="center" vertical="center"/>
    </xf>
    <xf numFmtId="0" fontId="22" fillId="2" borderId="34" applyAlignment="1" applyProtection="1" pivotButton="0" quotePrefix="0" xfId="0" applyFont="1" applyFill="1" applyBorder="1">
      <alignment horizontal="left" vertical="center" wrapText="1"/>
      <protection locked="0" hidden="0"/>
    </xf>
    <xf numFmtId="0" fontId="22" fillId="2" borderId="35" applyAlignment="1" applyProtection="1" pivotButton="0" quotePrefix="0" xfId="0" applyFont="1" applyFill="1" applyBorder="1">
      <alignment horizontal="left" vertical="center" wrapText="1"/>
      <protection locked="0" hidden="0"/>
    </xf>
    <xf numFmtId="0" fontId="22" fillId="2" borderId="36" applyAlignment="1" applyProtection="1" pivotButton="0" quotePrefix="0" xfId="0" applyFont="1" applyFill="1" applyBorder="1">
      <alignment horizontal="left" vertical="center" wrapText="1"/>
      <protection locked="0" hidden="0"/>
    </xf>
    <xf numFmtId="0" fontId="34" fillId="2" borderId="33" applyAlignment="1" applyProtection="1" pivotButton="0" quotePrefix="0" xfId="0" applyFont="1" applyFill="1" applyBorder="1">
      <alignment horizontal="left" vertical="top"/>
      <protection locked="0" hidden="0"/>
    </xf>
    <xf numFmtId="0" fontId="21" fillId="2" borderId="33" applyAlignment="1" applyProtection="1" pivotButton="0" quotePrefix="0" xfId="0" applyFont="1" applyFill="1" applyBorder="1">
      <alignment horizontal="left" vertical="top"/>
      <protection locked="0" hidden="0"/>
    </xf>
    <xf numFmtId="0" fontId="21" fillId="2" borderId="20" pivotButton="0" quotePrefix="0" xfId="0" applyFont="1" applyFill="1" applyBorder="1"/>
    <xf numFmtId="0" fontId="21" fillId="2" borderId="73" applyProtection="1" pivotButton="0" quotePrefix="0" xfId="0" applyFont="1" applyFill="1" applyBorder="1">
      <protection locked="1" hidden="1"/>
    </xf>
    <xf numFmtId="0" fontId="21" fillId="2" borderId="74" applyProtection="1" pivotButton="0" quotePrefix="0" xfId="0" applyFont="1" applyFill="1" applyBorder="1">
      <protection locked="1" hidden="1"/>
    </xf>
    <xf numFmtId="0" fontId="48" fillId="6" borderId="42" applyAlignment="1" applyProtection="1" pivotButton="0" quotePrefix="0" xfId="0" applyFont="1" applyFill="1" applyBorder="1">
      <alignment horizontal="center" vertical="center" wrapText="1"/>
      <protection locked="1" hidden="1"/>
    </xf>
    <xf numFmtId="0" fontId="21" fillId="2" borderId="64" applyProtection="1" pivotButton="0" quotePrefix="0" xfId="0" applyFont="1" applyFill="1" applyBorder="1">
      <protection locked="1" hidden="1"/>
    </xf>
    <xf numFmtId="0" fontId="21" fillId="2" borderId="63" applyProtection="1" pivotButton="0" quotePrefix="0" xfId="0" applyFont="1" applyFill="1" applyBorder="1">
      <protection locked="1" hidden="1"/>
    </xf>
    <xf numFmtId="0" fontId="21" fillId="2" borderId="67" applyProtection="1" pivotButton="0" quotePrefix="0" xfId="0" applyFont="1" applyFill="1" applyBorder="1">
      <protection locked="1" hidden="1"/>
    </xf>
    <xf numFmtId="0" fontId="21" fillId="2" borderId="20" applyProtection="1" pivotButton="0" quotePrefix="0" xfId="0" applyFont="1" applyFill="1" applyBorder="1">
      <protection locked="0" hidden="0"/>
    </xf>
  </cellXfs>
  <cellStyles count="2">
    <cellStyle name="Normal" xfId="0" builtinId="0"/>
    <cellStyle name="Normal 2" xfId="1" xr:uid="{B81C1B76-EF04-4F24-8BB8-1F3A167BDCCC}"/>
  </cellStyles>
  <dxfs count="29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/Relationships>
</file>

<file path=xl/ctrlProps/ctrlProp1.xml><?xml version="1.0" encoding="utf-8"?>
<formControlPr xmlns="http://schemas.microsoft.com/office/spreadsheetml/2009/9/main" objectType="CheckBox" checked="Checked" fmlaLink="AA16" lockText="1" noThreeD="1"/>
</file>

<file path=xl/ctrlProps/ctrlProp2.xml><?xml version="1.0" encoding="utf-8"?>
<formControlPr xmlns="http://schemas.microsoft.com/office/spreadsheetml/2009/9/main" objectType="CheckBox" checked="Checked" fmlaLink="AA17" lockText="1" noThreeD="1"/>
</file>

<file path=xl/ctrlProps/ctrlProp3.xml><?xml version="1.0" encoding="utf-8"?>
<formControlPr xmlns="http://schemas.microsoft.com/office/spreadsheetml/2009/9/main" objectType="CheckBox" fmlaLink="AA20" lockText="1" noThreeD="1"/>
</file>

<file path=xl/ctrlProps/ctrlProp4.xml><?xml version="1.0" encoding="utf-8"?>
<formControlPr xmlns="http://schemas.microsoft.com/office/spreadsheetml/2009/9/main" objectType="CheckBox" fmlaLink="AA21" lockText="1" noThreeD="1"/>
</file>

<file path=xl/ctrlProps/ctrlProp5.xml><?xml version="1.0" encoding="utf-8"?>
<formControlPr xmlns="http://schemas.microsoft.com/office/spreadsheetml/2009/9/main" objectType="CheckBox" fmlaLink="AA22" lockText="1" noThreeD="1"/>
</file>

<file path=xl/ctrlProps/ctrlProp6.xml><?xml version="1.0" encoding="utf-8"?>
<formControlPr xmlns="http://schemas.microsoft.com/office/spreadsheetml/2009/9/main" objectType="CheckBox" fmlaLink="AA23" lockText="1" noThreeD="1"/>
</file>

<file path=xl/ctrlProps/ctrlProp7.xml><?xml version="1.0" encoding="utf-8"?>
<formControlPr xmlns="http://schemas.microsoft.com/office/spreadsheetml/2009/9/main" objectType="CheckBox" fmlaLink="AA25" lockText="1" noThreeD="1"/>
</file>

<file path=xl/ctrlProps/ctrlProp8.xml><?xml version="1.0" encoding="utf-8"?>
<formControlPr xmlns="http://schemas.microsoft.com/office/spreadsheetml/2009/9/main" objectType="CheckBox" checked="Checked" fmlaLink="AA28" lockText="1" noThreeD="1"/>
</file>

<file path=xl/ctrlProps/ctrlProp9.xml><?xml version="1.0" encoding="utf-8"?>
<formControlPr xmlns="http://schemas.microsoft.com/office/spreadsheetml/2009/9/main" objectType="CheckBox" checked="Checked" fmlaLink="AA29" lockText="1" noThreeD="1"/>
</file>

<file path=xl/ctrlProps/ctrlProp10.xml><?xml version="1.0" encoding="utf-8"?>
<formControlPr xmlns="http://schemas.microsoft.com/office/spreadsheetml/2009/9/main" objectType="CheckBox" checked="Checked" fmlaLink="AA30" lockText="1" noThreeD="1"/>
</file>

<file path=xl/ctrlProps/ctrlProp11.xml><?xml version="1.0" encoding="utf-8"?>
<formControlPr xmlns="http://schemas.microsoft.com/office/spreadsheetml/2009/9/main" objectType="CheckBox" fmlaLink="AA32" lockText="1" noThreeD="1"/>
</file>

<file path=xl/ctrlProps/ctrlProp12.xml><?xml version="1.0" encoding="utf-8"?>
<formControlPr xmlns="http://schemas.microsoft.com/office/spreadsheetml/2009/9/main" objectType="CheckBox" fmlaLink="AA33" lockText="1" noThreeD="1"/>
</file>

<file path=xl/ctrlProps/ctrlProp13.xml><?xml version="1.0" encoding="utf-8"?>
<formControlPr xmlns="http://schemas.microsoft.com/office/spreadsheetml/2009/9/main" objectType="CheckBox" checked="Checked" fmlaLink="AA34" lockText="1" noThreeD="1"/>
</file>

<file path=xl/ctrlProps/ctrlProp14.xml><?xml version="1.0" encoding="utf-8"?>
<formControlPr xmlns="http://schemas.microsoft.com/office/spreadsheetml/2009/9/main" objectType="CheckBox" fmlaLink="AA35" lockText="1" noThreeD="1"/>
</file>

<file path=xl/ctrlProps/ctrlProp15.xml><?xml version="1.0" encoding="utf-8"?>
<formControlPr xmlns="http://schemas.microsoft.com/office/spreadsheetml/2009/9/main" objectType="CheckBox" fmlaLink="AA37" lockText="1" noThreeD="1"/>
</file>

<file path=xl/ctrlProps/ctrlProp16.xml><?xml version="1.0" encoding="utf-8"?>
<formControlPr xmlns="http://schemas.microsoft.com/office/spreadsheetml/2009/9/main" objectType="CheckBox" fmlaLink="AA40" lockText="1" noThreeD="1"/>
</file>

<file path=xl/ctrlProps/ctrlProp17.xml><?xml version="1.0" encoding="utf-8"?>
<formControlPr xmlns="http://schemas.microsoft.com/office/spreadsheetml/2009/9/main" objectType="CheckBox" fmlaLink="AA41" lockText="1" noThreeD="1"/>
</file>

<file path=xl/ctrlProps/ctrlProp18.xml><?xml version="1.0" encoding="utf-8"?>
<formControlPr xmlns="http://schemas.microsoft.com/office/spreadsheetml/2009/9/main" objectType="CheckBox" checked="Checked" fmlaLink="AA42" lockText="1" noThreeD="1"/>
</file>

<file path=xl/ctrlProps/ctrlProp19.xml><?xml version="1.0" encoding="utf-8"?>
<formControlPr xmlns="http://schemas.microsoft.com/office/spreadsheetml/2009/9/main" objectType="CheckBox" checked="Checked" fmlaLink="AA44" lockText="1" noThreeD="1"/>
</file>

<file path=xl/ctrlProps/ctrlProp20.xml><?xml version="1.0" encoding="utf-8"?>
<formControlPr xmlns="http://schemas.microsoft.com/office/spreadsheetml/2009/9/main" objectType="CheckBox" checked="Checked" fmlaLink="AA45" lockText="1" noThreeD="1"/>
</file>

<file path=xl/ctrlProps/ctrlProp21.xml><?xml version="1.0" encoding="utf-8"?>
<formControlPr xmlns="http://schemas.microsoft.com/office/spreadsheetml/2009/9/main" objectType="CheckBox" checked="Checked" fmlaLink="AA46" lockText="1" noThreeD="1"/>
</file>

<file path=xl/ctrlProps/ctrlProp22.xml><?xml version="1.0" encoding="utf-8"?>
<formControlPr xmlns="http://schemas.microsoft.com/office/spreadsheetml/2009/9/main" objectType="CheckBox" fmlaLink="AA47" lockText="1" noThreeD="1"/>
</file>

<file path=xl/ctrlProps/ctrlProp23.xml><?xml version="1.0" encoding="utf-8"?>
<formControlPr xmlns="http://schemas.microsoft.com/office/spreadsheetml/2009/9/main" objectType="CheckBox" fmlaLink="AA48" lockText="1" noThreeD="1"/>
</file>

<file path=xl/ctrlProps/ctrlProp24.xml><?xml version="1.0" encoding="utf-8"?>
<formControlPr xmlns="http://schemas.microsoft.com/office/spreadsheetml/2009/9/main" objectType="CheckBox" fmlaLink="AA49" lockText="1" noThreeD="1"/>
</file>

<file path=xl/ctrlProps/ctrlProp25.xml><?xml version="1.0" encoding="utf-8"?>
<formControlPr xmlns="http://schemas.microsoft.com/office/spreadsheetml/2009/9/main" objectType="CheckBox" fmlaLink="AB16" lockText="1" noThreeD="1"/>
</file>

<file path=xl/ctrlProps/ctrlProp26.xml><?xml version="1.0" encoding="utf-8"?>
<formControlPr xmlns="http://schemas.microsoft.com/office/spreadsheetml/2009/9/main" objectType="CheckBox" fmlaLink="AB17" lockText="1" noThreeD="1"/>
</file>

<file path=xl/ctrlProps/ctrlProp27.xml><?xml version="1.0" encoding="utf-8"?>
<formControlPr xmlns="http://schemas.microsoft.com/office/spreadsheetml/2009/9/main" objectType="CheckBox" checked="Checked" fmlaLink="AB20" lockText="1" noThreeD="1"/>
</file>

<file path=xl/ctrlProps/ctrlProp28.xml><?xml version="1.0" encoding="utf-8"?>
<formControlPr xmlns="http://schemas.microsoft.com/office/spreadsheetml/2009/9/main" objectType="CheckBox" checked="Checked" fmlaLink="AB21" lockText="1" noThreeD="1"/>
</file>

<file path=xl/ctrlProps/ctrlProp29.xml><?xml version="1.0" encoding="utf-8"?>
<formControlPr xmlns="http://schemas.microsoft.com/office/spreadsheetml/2009/9/main" objectType="CheckBox" fmlaLink="AB22" lockText="1" noThreeD="1"/>
</file>

<file path=xl/ctrlProps/ctrlProp30.xml><?xml version="1.0" encoding="utf-8"?>
<formControlPr xmlns="http://schemas.microsoft.com/office/spreadsheetml/2009/9/main" objectType="CheckBox" fmlaLink="AB23" lockText="1" noThreeD="1"/>
</file>

<file path=xl/ctrlProps/ctrlProp31.xml><?xml version="1.0" encoding="utf-8"?>
<formControlPr xmlns="http://schemas.microsoft.com/office/spreadsheetml/2009/9/main" objectType="CheckBox" fmlaLink="AB25" lockText="1" noThreeD="1"/>
</file>

<file path=xl/ctrlProps/ctrlProp32.xml><?xml version="1.0" encoding="utf-8"?>
<formControlPr xmlns="http://schemas.microsoft.com/office/spreadsheetml/2009/9/main" objectType="CheckBox" fmlaLink="AB28" lockText="1" noThreeD="1"/>
</file>

<file path=xl/ctrlProps/ctrlProp33.xml><?xml version="1.0" encoding="utf-8"?>
<formControlPr xmlns="http://schemas.microsoft.com/office/spreadsheetml/2009/9/main" objectType="CheckBox" fmlaLink="AB29" lockText="1" noThreeD="1"/>
</file>

<file path=xl/ctrlProps/ctrlProp34.xml><?xml version="1.0" encoding="utf-8"?>
<formControlPr xmlns="http://schemas.microsoft.com/office/spreadsheetml/2009/9/main" objectType="CheckBox" fmlaLink="AB30" lockText="1" noThreeD="1"/>
</file>

<file path=xl/ctrlProps/ctrlProp35.xml><?xml version="1.0" encoding="utf-8"?>
<formControlPr xmlns="http://schemas.microsoft.com/office/spreadsheetml/2009/9/main" objectType="CheckBox" checked="Checked" fmlaLink="AB32" lockText="1" noThreeD="1"/>
</file>

<file path=xl/ctrlProps/ctrlProp36.xml><?xml version="1.0" encoding="utf-8"?>
<formControlPr xmlns="http://schemas.microsoft.com/office/spreadsheetml/2009/9/main" objectType="CheckBox" checked="Checked" fmlaLink="AB33" lockText="1" noThreeD="1"/>
</file>

<file path=xl/ctrlProps/ctrlProp37.xml><?xml version="1.0" encoding="utf-8"?>
<formControlPr xmlns="http://schemas.microsoft.com/office/spreadsheetml/2009/9/main" objectType="CheckBox" fmlaLink="AB34" lockText="1" noThreeD="1"/>
</file>

<file path=xl/ctrlProps/ctrlProp38.xml><?xml version="1.0" encoding="utf-8"?>
<formControlPr xmlns="http://schemas.microsoft.com/office/spreadsheetml/2009/9/main" objectType="CheckBox" fmlaLink="AB35" lockText="1" noThreeD="1"/>
</file>

<file path=xl/ctrlProps/ctrlProp39.xml><?xml version="1.0" encoding="utf-8"?>
<formControlPr xmlns="http://schemas.microsoft.com/office/spreadsheetml/2009/9/main" objectType="CheckBox" fmlaLink="AB37" lockText="1" noThreeD="1"/>
</file>

<file path=xl/ctrlProps/ctrlProp40.xml><?xml version="1.0" encoding="utf-8"?>
<formControlPr xmlns="http://schemas.microsoft.com/office/spreadsheetml/2009/9/main" objectType="CheckBox" checked="Checked" fmlaLink="AB40" lockText="1" noThreeD="1"/>
</file>

<file path=xl/ctrlProps/ctrlProp41.xml><?xml version="1.0" encoding="utf-8"?>
<formControlPr xmlns="http://schemas.microsoft.com/office/spreadsheetml/2009/9/main" objectType="CheckBox" checked="Checked" fmlaLink="AB41" lockText="1" noThreeD="1"/>
</file>

<file path=xl/ctrlProps/ctrlProp42.xml><?xml version="1.0" encoding="utf-8"?>
<formControlPr xmlns="http://schemas.microsoft.com/office/spreadsheetml/2009/9/main" objectType="CheckBox" fmlaLink="AB42" lockText="1" noThreeD="1"/>
</file>

<file path=xl/ctrlProps/ctrlProp43.xml><?xml version="1.0" encoding="utf-8"?>
<formControlPr xmlns="http://schemas.microsoft.com/office/spreadsheetml/2009/9/main" objectType="CheckBox" fmlaLink="AB44" lockText="1" noThreeD="1"/>
</file>

<file path=xl/ctrlProps/ctrlProp44.xml><?xml version="1.0" encoding="utf-8"?>
<formControlPr xmlns="http://schemas.microsoft.com/office/spreadsheetml/2009/9/main" objectType="CheckBox" fmlaLink="AB45" lockText="1" noThreeD="1"/>
</file>

<file path=xl/ctrlProps/ctrlProp45.xml><?xml version="1.0" encoding="utf-8"?>
<formControlPr xmlns="http://schemas.microsoft.com/office/spreadsheetml/2009/9/main" objectType="CheckBox" fmlaLink="AB46" lockText="1" noThreeD="1"/>
</file>

<file path=xl/ctrlProps/ctrlProp46.xml><?xml version="1.0" encoding="utf-8"?>
<formControlPr xmlns="http://schemas.microsoft.com/office/spreadsheetml/2009/9/main" objectType="CheckBox" fmlaLink="AB47" lockText="1" noThreeD="1"/>
</file>

<file path=xl/ctrlProps/ctrlProp47.xml><?xml version="1.0" encoding="utf-8"?>
<formControlPr xmlns="http://schemas.microsoft.com/office/spreadsheetml/2009/9/main" objectType="CheckBox" fmlaLink="AB48" lockText="1" noThreeD="1"/>
</file>

<file path=xl/ctrlProps/ctrlProp48.xml><?xml version="1.0" encoding="utf-8"?>
<formControlPr xmlns="http://schemas.microsoft.com/office/spreadsheetml/2009/9/main" objectType="CheckBox" fmlaLink="AB49" lockText="1" noThreeD="1"/>
</file>

<file path=xl/ctrlProps/ctrlProp49.xml><?xml version="1.0" encoding="utf-8"?>
<formControlPr xmlns="http://schemas.microsoft.com/office/spreadsheetml/2009/9/main" objectType="CheckBox" checked="Checked" fmlaLink="AA19" lockText="1" noThreeD="1"/>
</file>

<file path=xl/ctrlProps/ctrlProp50.xml><?xml version="1.0" encoding="utf-8"?>
<formControlPr xmlns="http://schemas.microsoft.com/office/spreadsheetml/2009/9/main" objectType="CheckBox" fmlaLink="AB19" lockText="1" noThreeD="1"/>
</file>

<file path=xl/ctrlProps/ctrlProp51.xml><?xml version="1.0" encoding="utf-8"?>
<formControlPr xmlns="http://schemas.microsoft.com/office/spreadsheetml/2009/9/main" objectType="CheckBox" checked="Checked" fmlaLink="AA18" lockText="1" noThreeD="1"/>
</file>

<file path=xl/ctrlProps/ctrlProp52.xml><?xml version="1.0" encoding="utf-8"?>
<formControlPr xmlns="http://schemas.microsoft.com/office/spreadsheetml/2009/9/main" objectType="CheckBox" fmlaLink="AB18" lockText="1" noThreeD="1"/>
</file>

<file path=xl/ctrlProps/ctrlProp53.xml><?xml version="1.0" encoding="utf-8"?>
<formControlPr xmlns="http://schemas.microsoft.com/office/spreadsheetml/2009/9/main" objectType="CheckBox" fmlaLink="AA24" lockText="1" noThreeD="1"/>
</file>

<file path=xl/ctrlProps/ctrlProp54.xml><?xml version="1.0" encoding="utf-8"?>
<formControlPr xmlns="http://schemas.microsoft.com/office/spreadsheetml/2009/9/main" objectType="CheckBox" fmlaLink="AB24" lockText="1" noThreeD="1"/>
</file>

<file path=xl/ctrlProps/ctrlProp55.xml><?xml version="1.0" encoding="utf-8"?>
<formControlPr xmlns="http://schemas.microsoft.com/office/spreadsheetml/2009/9/main" objectType="CheckBox" checked="Checked" fmlaLink="AA31" lockText="1" noThreeD="1"/>
</file>

<file path=xl/ctrlProps/ctrlProp56.xml><?xml version="1.0" encoding="utf-8"?>
<formControlPr xmlns="http://schemas.microsoft.com/office/spreadsheetml/2009/9/main" objectType="CheckBox" fmlaLink="AB31" lockText="1" noThreeD="1"/>
</file>

<file path=xl/ctrlProps/ctrlProp57.xml><?xml version="1.0" encoding="utf-8"?>
<formControlPr xmlns="http://schemas.microsoft.com/office/spreadsheetml/2009/9/main" objectType="CheckBox" fmlaLink="AA36" lockText="1" noThreeD="1"/>
</file>

<file path=xl/ctrlProps/ctrlProp58.xml><?xml version="1.0" encoding="utf-8"?>
<formControlPr xmlns="http://schemas.microsoft.com/office/spreadsheetml/2009/9/main" objectType="CheckBox" fmlaLink="AB36" lockText="1" noThreeD="1"/>
</file>

<file path=xl/ctrlProps/ctrlProp59.xml><?xml version="1.0" encoding="utf-8"?>
<formControlPr xmlns="http://schemas.microsoft.com/office/spreadsheetml/2009/9/main" objectType="CheckBox" checked="Checked" fmlaLink="AA43" lockText="1" noThreeD="1"/>
</file>

<file path=xl/ctrlProps/ctrlProp60.xml><?xml version="1.0" encoding="utf-8"?>
<formControlPr xmlns="http://schemas.microsoft.com/office/spreadsheetml/2009/9/main" objectType="CheckBox" fmlaLink="AB43" lockText="1" noThreeD="1"/>
</file>

<file path=xl/ctrlProps/ctrlProp61.xml><?xml version="1.0" encoding="utf-8"?>
<formControlPr xmlns="http://schemas.microsoft.com/office/spreadsheetml/2009/9/main" objectType="CheckBox" checked="Checked" fmlaLink="AA52" lockText="1" noThreeD="1"/>
</file>

<file path=xl/ctrlProps/ctrlProp62.xml><?xml version="1.0" encoding="utf-8"?>
<formControlPr xmlns="http://schemas.microsoft.com/office/spreadsheetml/2009/9/main" objectType="CheckBox" fmlaLink="AA53" lockText="1" noThreeD="1"/>
</file>

<file path=xl/ctrlProps/ctrlProp63.xml><?xml version="1.0" encoding="utf-8"?>
<formControlPr xmlns="http://schemas.microsoft.com/office/spreadsheetml/2009/9/main" objectType="CheckBox" fmlaLink="AA54" lockText="1" noThreeD="1"/>
</file>

<file path=xl/ctrlProps/ctrlProp64.xml><?xml version="1.0" encoding="utf-8"?>
<formControlPr xmlns="http://schemas.microsoft.com/office/spreadsheetml/2009/9/main" objectType="CheckBox" checked="Checked" fmlaLink="AA56" lockText="1" noThreeD="1"/>
</file>

<file path=xl/ctrlProps/ctrlProp65.xml><?xml version="1.0" encoding="utf-8"?>
<formControlPr xmlns="http://schemas.microsoft.com/office/spreadsheetml/2009/9/main" objectType="CheckBox" checked="Checked" fmlaLink="AA57" lockText="1" noThreeD="1"/>
</file>

<file path=xl/ctrlProps/ctrlProp66.xml><?xml version="1.0" encoding="utf-8"?>
<formControlPr xmlns="http://schemas.microsoft.com/office/spreadsheetml/2009/9/main" objectType="CheckBox" fmlaLink="AA58" lockText="1" noThreeD="1"/>
</file>

<file path=xl/ctrlProps/ctrlProp67.xml><?xml version="1.0" encoding="utf-8"?>
<formControlPr xmlns="http://schemas.microsoft.com/office/spreadsheetml/2009/9/main" objectType="CheckBox" fmlaLink="AA59" lockText="1" noThreeD="1"/>
</file>

<file path=xl/ctrlProps/ctrlProp68.xml><?xml version="1.0" encoding="utf-8"?>
<formControlPr xmlns="http://schemas.microsoft.com/office/spreadsheetml/2009/9/main" objectType="CheckBox" fmlaLink="AA60" lockText="1" noThreeD="1"/>
</file>

<file path=xl/ctrlProps/ctrlProp69.xml><?xml version="1.0" encoding="utf-8"?>
<formControlPr xmlns="http://schemas.microsoft.com/office/spreadsheetml/2009/9/main" objectType="CheckBox" fmlaLink="AA61" lockText="1" noThreeD="1"/>
</file>

<file path=xl/ctrlProps/ctrlProp70.xml><?xml version="1.0" encoding="utf-8"?>
<formControlPr xmlns="http://schemas.microsoft.com/office/spreadsheetml/2009/9/main" objectType="CheckBox" fmlaLink="AB52" lockText="1" noThreeD="1"/>
</file>

<file path=xl/ctrlProps/ctrlProp71.xml><?xml version="1.0" encoding="utf-8"?>
<formControlPr xmlns="http://schemas.microsoft.com/office/spreadsheetml/2009/9/main" objectType="CheckBox" checked="Checked" fmlaLink="AB53" lockText="1" noThreeD="1"/>
</file>

<file path=xl/ctrlProps/ctrlProp72.xml><?xml version="1.0" encoding="utf-8"?>
<formControlPr xmlns="http://schemas.microsoft.com/office/spreadsheetml/2009/9/main" objectType="CheckBox" checked="Checked" fmlaLink="AB54" lockText="1" noThreeD="1"/>
</file>

<file path=xl/ctrlProps/ctrlProp73.xml><?xml version="1.0" encoding="utf-8"?>
<formControlPr xmlns="http://schemas.microsoft.com/office/spreadsheetml/2009/9/main" objectType="CheckBox" fmlaLink="AB56" lockText="1" noThreeD="1"/>
</file>

<file path=xl/ctrlProps/ctrlProp74.xml><?xml version="1.0" encoding="utf-8"?>
<formControlPr xmlns="http://schemas.microsoft.com/office/spreadsheetml/2009/9/main" objectType="CheckBox" fmlaLink="AB57" lockText="1" noThreeD="1"/>
</file>

<file path=xl/ctrlProps/ctrlProp75.xml><?xml version="1.0" encoding="utf-8"?>
<formControlPr xmlns="http://schemas.microsoft.com/office/spreadsheetml/2009/9/main" objectType="CheckBox" fmlaLink="AB58" lockText="1" noThreeD="1"/>
</file>

<file path=xl/ctrlProps/ctrlProp76.xml><?xml version="1.0" encoding="utf-8"?>
<formControlPr xmlns="http://schemas.microsoft.com/office/spreadsheetml/2009/9/main" objectType="CheckBox" fmlaLink="AB59" lockText="1" noThreeD="1"/>
</file>

<file path=xl/ctrlProps/ctrlProp77.xml><?xml version="1.0" encoding="utf-8"?>
<formControlPr xmlns="http://schemas.microsoft.com/office/spreadsheetml/2009/9/main" objectType="CheckBox" fmlaLink="AB60" lockText="1" noThreeD="1"/>
</file>

<file path=xl/ctrlProps/ctrlProp78.xml><?xml version="1.0" encoding="utf-8"?>
<formControlPr xmlns="http://schemas.microsoft.com/office/spreadsheetml/2009/9/main" objectType="CheckBox" fmlaLink="AB61" lockText="1" noThreeD="1"/>
</file>

<file path=xl/ctrlProps/ctrlProp79.xml><?xml version="1.0" encoding="utf-8"?>
<formControlPr xmlns="http://schemas.microsoft.com/office/spreadsheetml/2009/9/main" objectType="CheckBox" checked="Checked" fmlaLink="AA55" lockText="1" noThreeD="1"/>
</file>

<file path=xl/ctrlProps/ctrlProp80.xml><?xml version="1.0" encoding="utf-8"?>
<formControlPr xmlns="http://schemas.microsoft.com/office/spreadsheetml/2009/9/main" objectType="CheckBox" fmlaLink="AB55" lockText="1" noThreeD="1"/>
</file>

<file path=xl/ctrlProps/ctrlProp81.xml><?xml version="1.0" encoding="utf-8"?>
<formControlPr xmlns="http://schemas.microsoft.com/office/spreadsheetml/2009/9/main" objectType="CheckBox" checked="Checked" fmlaLink="AA64" lockText="1" noThreeD="1"/>
</file>

<file path=xl/ctrlProps/ctrlProp82.xml><?xml version="1.0" encoding="utf-8"?>
<formControlPr xmlns="http://schemas.microsoft.com/office/spreadsheetml/2009/9/main" objectType="CheckBox" checked="Checked" fmlaLink="AA65" lockText="1" noThreeD="1"/>
</file>

<file path=xl/ctrlProps/ctrlProp83.xml><?xml version="1.0" encoding="utf-8"?>
<formControlPr xmlns="http://schemas.microsoft.com/office/spreadsheetml/2009/9/main" objectType="CheckBox" checked="Checked" fmlaLink="AA66" lockText="1" noThreeD="1"/>
</file>

<file path=xl/ctrlProps/ctrlProp84.xml><?xml version="1.0" encoding="utf-8"?>
<formControlPr xmlns="http://schemas.microsoft.com/office/spreadsheetml/2009/9/main" objectType="CheckBox" checked="Checked" fmlaLink="AA68" lockText="1" noThreeD="1"/>
</file>

<file path=xl/ctrlProps/ctrlProp85.xml><?xml version="1.0" encoding="utf-8"?>
<formControlPr xmlns="http://schemas.microsoft.com/office/spreadsheetml/2009/9/main" objectType="CheckBox" fmlaLink="AA69" lockText="1" noThreeD="1"/>
</file>

<file path=xl/ctrlProps/ctrlProp86.xml><?xml version="1.0" encoding="utf-8"?>
<formControlPr xmlns="http://schemas.microsoft.com/office/spreadsheetml/2009/9/main" objectType="CheckBox" fmlaLink="AA70" lockText="1" noThreeD="1"/>
</file>

<file path=xl/ctrlProps/ctrlProp87.xml><?xml version="1.0" encoding="utf-8"?>
<formControlPr xmlns="http://schemas.microsoft.com/office/spreadsheetml/2009/9/main" objectType="CheckBox" fmlaLink="AA71" lockText="1" noThreeD="1"/>
</file>

<file path=xl/ctrlProps/ctrlProp88.xml><?xml version="1.0" encoding="utf-8"?>
<formControlPr xmlns="http://schemas.microsoft.com/office/spreadsheetml/2009/9/main" objectType="CheckBox" fmlaLink="AA72" lockText="1" noThreeD="1"/>
</file>

<file path=xl/ctrlProps/ctrlProp89.xml><?xml version="1.0" encoding="utf-8"?>
<formControlPr xmlns="http://schemas.microsoft.com/office/spreadsheetml/2009/9/main" objectType="CheckBox" fmlaLink="AA73" lockText="1" noThreeD="1"/>
</file>

<file path=xl/ctrlProps/ctrlProp90.xml><?xml version="1.0" encoding="utf-8"?>
<formControlPr xmlns="http://schemas.microsoft.com/office/spreadsheetml/2009/9/main" objectType="CheckBox" fmlaLink="AB64" lockText="1" noThreeD="1"/>
</file>

<file path=xl/ctrlProps/ctrlProp91.xml><?xml version="1.0" encoding="utf-8"?>
<formControlPr xmlns="http://schemas.microsoft.com/office/spreadsheetml/2009/9/main" objectType="CheckBox" fmlaLink="AB65" lockText="1" noThreeD="1"/>
</file>

<file path=xl/ctrlProps/ctrlProp92.xml><?xml version="1.0" encoding="utf-8"?>
<formControlPr xmlns="http://schemas.microsoft.com/office/spreadsheetml/2009/9/main" objectType="CheckBox" fmlaLink="AB66" lockText="1" noThreeD="1"/>
</file>

<file path=xl/ctrlProps/ctrlProp93.xml><?xml version="1.0" encoding="utf-8"?>
<formControlPr xmlns="http://schemas.microsoft.com/office/spreadsheetml/2009/9/main" objectType="CheckBox" fmlaLink="AB68" lockText="1" noThreeD="1"/>
</file>

<file path=xl/ctrlProps/ctrlProp94.xml><?xml version="1.0" encoding="utf-8"?>
<formControlPr xmlns="http://schemas.microsoft.com/office/spreadsheetml/2009/9/main" objectType="CheckBox" checked="Checked" fmlaLink="AB69" lockText="1" noThreeD="1"/>
</file>

<file path=xl/ctrlProps/ctrlProp95.xml><?xml version="1.0" encoding="utf-8"?>
<formControlPr xmlns="http://schemas.microsoft.com/office/spreadsheetml/2009/9/main" objectType="CheckBox" fmlaLink="AB70" lockText="1" noThreeD="1"/>
</file>

<file path=xl/ctrlProps/ctrlProp96.xml><?xml version="1.0" encoding="utf-8"?>
<formControlPr xmlns="http://schemas.microsoft.com/office/spreadsheetml/2009/9/main" objectType="CheckBox" fmlaLink="AB71" lockText="1" noThreeD="1"/>
</file>

<file path=xl/ctrlProps/ctrlProp97.xml><?xml version="1.0" encoding="utf-8"?>
<formControlPr xmlns="http://schemas.microsoft.com/office/spreadsheetml/2009/9/main" objectType="CheckBox" fmlaLink="AB72" lockText="1" noThreeD="1"/>
</file>

<file path=xl/ctrlProps/ctrlProp98.xml><?xml version="1.0" encoding="utf-8"?>
<formControlPr xmlns="http://schemas.microsoft.com/office/spreadsheetml/2009/9/main" objectType="CheckBox" fmlaLink="AB73" lockText="1" noThreeD="1"/>
</file>

<file path=xl/ctrlProps/ctrlProp99.xml><?xml version="1.0" encoding="utf-8"?>
<formControlPr xmlns="http://schemas.microsoft.com/office/spreadsheetml/2009/9/main" objectType="CheckBox" fmlaLink="AA67" lockText="1" noThreeD="1"/>
</file>

<file path=xl/ctrlProps/ctrlProp100.xml><?xml version="1.0" encoding="utf-8"?>
<formControlPr xmlns="http://schemas.microsoft.com/office/spreadsheetml/2009/9/main" objectType="CheckBox" checked="Checked" fmlaLink="AB67" lockText="1" noThreeD="1"/>
</file>

<file path=xl/ctrlProps/ctrlProp101.xml><?xml version="1.0" encoding="utf-8"?>
<formControlPr xmlns="http://schemas.microsoft.com/office/spreadsheetml/2009/9/main" objectType="CheckBox" fmlaLink="AA16" lockText="1" noThreeD="1"/>
</file>

<file path=xl/ctrlProps/ctrlProp102.xml><?xml version="1.0" encoding="utf-8"?>
<formControlPr xmlns="http://schemas.microsoft.com/office/spreadsheetml/2009/9/main" objectType="CheckBox" fmlaLink="AA17" lockText="1" noThreeD="1"/>
</file>

<file path=xl/ctrlProps/ctrlProp103.xml><?xml version="1.0" encoding="utf-8"?>
<formControlPr xmlns="http://schemas.microsoft.com/office/spreadsheetml/2009/9/main" objectType="CheckBox" fmlaLink="AA20" lockText="1" noThreeD="1"/>
</file>

<file path=xl/ctrlProps/ctrlProp104.xml><?xml version="1.0" encoding="utf-8"?>
<formControlPr xmlns="http://schemas.microsoft.com/office/spreadsheetml/2009/9/main" objectType="CheckBox" fmlaLink="AA21" lockText="1" noThreeD="1"/>
</file>

<file path=xl/ctrlProps/ctrlProp105.xml><?xml version="1.0" encoding="utf-8"?>
<formControlPr xmlns="http://schemas.microsoft.com/office/spreadsheetml/2009/9/main" objectType="CheckBox" fmlaLink="AA22" lockText="1" noThreeD="1"/>
</file>

<file path=xl/ctrlProps/ctrlProp106.xml><?xml version="1.0" encoding="utf-8"?>
<formControlPr xmlns="http://schemas.microsoft.com/office/spreadsheetml/2009/9/main" objectType="CheckBox" fmlaLink="AA23" lockText="1" noThreeD="1"/>
</file>

<file path=xl/ctrlProps/ctrlProp107.xml><?xml version="1.0" encoding="utf-8"?>
<formControlPr xmlns="http://schemas.microsoft.com/office/spreadsheetml/2009/9/main" objectType="CheckBox" fmlaLink="AA25" lockText="1" noThreeD="1"/>
</file>

<file path=xl/ctrlProps/ctrlProp108.xml><?xml version="1.0" encoding="utf-8"?>
<formControlPr xmlns="http://schemas.microsoft.com/office/spreadsheetml/2009/9/main" objectType="CheckBox" fmlaLink="AA28" lockText="1" noThreeD="1"/>
</file>

<file path=xl/ctrlProps/ctrlProp109.xml><?xml version="1.0" encoding="utf-8"?>
<formControlPr xmlns="http://schemas.microsoft.com/office/spreadsheetml/2009/9/main" objectType="CheckBox" fmlaLink="AA29" lockText="1" noThreeD="1"/>
</file>

<file path=xl/ctrlProps/ctrlProp110.xml><?xml version="1.0" encoding="utf-8"?>
<formControlPr xmlns="http://schemas.microsoft.com/office/spreadsheetml/2009/9/main" objectType="CheckBox" fmlaLink="AA30" lockText="1" noThreeD="1"/>
</file>

<file path=xl/ctrlProps/ctrlProp111.xml><?xml version="1.0" encoding="utf-8"?>
<formControlPr xmlns="http://schemas.microsoft.com/office/spreadsheetml/2009/9/main" objectType="CheckBox" fmlaLink="AA32" lockText="1" noThreeD="1"/>
</file>

<file path=xl/ctrlProps/ctrlProp112.xml><?xml version="1.0" encoding="utf-8"?>
<formControlPr xmlns="http://schemas.microsoft.com/office/spreadsheetml/2009/9/main" objectType="CheckBox" fmlaLink="AA33" lockText="1" noThreeD="1"/>
</file>

<file path=xl/ctrlProps/ctrlProp113.xml><?xml version="1.0" encoding="utf-8"?>
<formControlPr xmlns="http://schemas.microsoft.com/office/spreadsheetml/2009/9/main" objectType="CheckBox" fmlaLink="AA34" lockText="1" noThreeD="1"/>
</file>

<file path=xl/ctrlProps/ctrlProp114.xml><?xml version="1.0" encoding="utf-8"?>
<formControlPr xmlns="http://schemas.microsoft.com/office/spreadsheetml/2009/9/main" objectType="CheckBox" fmlaLink="AA35" lockText="1" noThreeD="1"/>
</file>

<file path=xl/ctrlProps/ctrlProp115.xml><?xml version="1.0" encoding="utf-8"?>
<formControlPr xmlns="http://schemas.microsoft.com/office/spreadsheetml/2009/9/main" objectType="CheckBox" fmlaLink="AA37" lockText="1" noThreeD="1"/>
</file>

<file path=xl/ctrlProps/ctrlProp116.xml><?xml version="1.0" encoding="utf-8"?>
<formControlPr xmlns="http://schemas.microsoft.com/office/spreadsheetml/2009/9/main" objectType="CheckBox" fmlaLink="AA40" lockText="1" noThreeD="1"/>
</file>

<file path=xl/ctrlProps/ctrlProp117.xml><?xml version="1.0" encoding="utf-8"?>
<formControlPr xmlns="http://schemas.microsoft.com/office/spreadsheetml/2009/9/main" objectType="CheckBox" fmlaLink="AA41" lockText="1" noThreeD="1"/>
</file>

<file path=xl/ctrlProps/ctrlProp118.xml><?xml version="1.0" encoding="utf-8"?>
<formControlPr xmlns="http://schemas.microsoft.com/office/spreadsheetml/2009/9/main" objectType="CheckBox" fmlaLink="AA42" lockText="1" noThreeD="1"/>
</file>

<file path=xl/ctrlProps/ctrlProp119.xml><?xml version="1.0" encoding="utf-8"?>
<formControlPr xmlns="http://schemas.microsoft.com/office/spreadsheetml/2009/9/main" objectType="CheckBox" fmlaLink="AA44" lockText="1" noThreeD="1"/>
</file>

<file path=xl/ctrlProps/ctrlProp120.xml><?xml version="1.0" encoding="utf-8"?>
<formControlPr xmlns="http://schemas.microsoft.com/office/spreadsheetml/2009/9/main" objectType="CheckBox" fmlaLink="AA45" lockText="1" noThreeD="1"/>
</file>

<file path=xl/ctrlProps/ctrlProp121.xml><?xml version="1.0" encoding="utf-8"?>
<formControlPr xmlns="http://schemas.microsoft.com/office/spreadsheetml/2009/9/main" objectType="CheckBox" fmlaLink="AA46" lockText="1" noThreeD="1"/>
</file>

<file path=xl/ctrlProps/ctrlProp122.xml><?xml version="1.0" encoding="utf-8"?>
<formControlPr xmlns="http://schemas.microsoft.com/office/spreadsheetml/2009/9/main" objectType="CheckBox" fmlaLink="AA47" lockText="1" noThreeD="1"/>
</file>

<file path=xl/ctrlProps/ctrlProp123.xml><?xml version="1.0" encoding="utf-8"?>
<formControlPr xmlns="http://schemas.microsoft.com/office/spreadsheetml/2009/9/main" objectType="CheckBox" fmlaLink="AA48" lockText="1" noThreeD="1"/>
</file>

<file path=xl/ctrlProps/ctrlProp124.xml><?xml version="1.0" encoding="utf-8"?>
<formControlPr xmlns="http://schemas.microsoft.com/office/spreadsheetml/2009/9/main" objectType="CheckBox" fmlaLink="AA49" lockText="1" noThreeD="1"/>
</file>

<file path=xl/ctrlProps/ctrlProp125.xml><?xml version="1.0" encoding="utf-8"?>
<formControlPr xmlns="http://schemas.microsoft.com/office/spreadsheetml/2009/9/main" objectType="CheckBox" fmlaLink="AA52" lockText="1" noThreeD="1"/>
</file>

<file path=xl/ctrlProps/ctrlProp126.xml><?xml version="1.0" encoding="utf-8"?>
<formControlPr xmlns="http://schemas.microsoft.com/office/spreadsheetml/2009/9/main" objectType="CheckBox" fmlaLink="AA53" lockText="1" noThreeD="1"/>
</file>

<file path=xl/ctrlProps/ctrlProp127.xml><?xml version="1.0" encoding="utf-8"?>
<formControlPr xmlns="http://schemas.microsoft.com/office/spreadsheetml/2009/9/main" objectType="CheckBox" fmlaLink="AA54" lockText="1" noThreeD="1"/>
</file>

<file path=xl/ctrlProps/ctrlProp128.xml><?xml version="1.0" encoding="utf-8"?>
<formControlPr xmlns="http://schemas.microsoft.com/office/spreadsheetml/2009/9/main" objectType="CheckBox" fmlaLink="AA56" lockText="1" noThreeD="1"/>
</file>

<file path=xl/ctrlProps/ctrlProp129.xml><?xml version="1.0" encoding="utf-8"?>
<formControlPr xmlns="http://schemas.microsoft.com/office/spreadsheetml/2009/9/main" objectType="CheckBox" fmlaLink="AA57" lockText="1" noThreeD="1"/>
</file>

<file path=xl/ctrlProps/ctrlProp130.xml><?xml version="1.0" encoding="utf-8"?>
<formControlPr xmlns="http://schemas.microsoft.com/office/spreadsheetml/2009/9/main" objectType="CheckBox" fmlaLink="AA58" lockText="1" noThreeD="1"/>
</file>

<file path=xl/ctrlProps/ctrlProp131.xml><?xml version="1.0" encoding="utf-8"?>
<formControlPr xmlns="http://schemas.microsoft.com/office/spreadsheetml/2009/9/main" objectType="CheckBox" fmlaLink="AA59" lockText="1" noThreeD="1"/>
</file>

<file path=xl/ctrlProps/ctrlProp132.xml><?xml version="1.0" encoding="utf-8"?>
<formControlPr xmlns="http://schemas.microsoft.com/office/spreadsheetml/2009/9/main" objectType="CheckBox" fmlaLink="AA60" lockText="1" noThreeD="1"/>
</file>

<file path=xl/ctrlProps/ctrlProp133.xml><?xml version="1.0" encoding="utf-8"?>
<formControlPr xmlns="http://schemas.microsoft.com/office/spreadsheetml/2009/9/main" objectType="CheckBox" fmlaLink="AA61" lockText="1" noThreeD="1"/>
</file>

<file path=xl/ctrlProps/ctrlProp134.xml><?xml version="1.0" encoding="utf-8"?>
<formControlPr xmlns="http://schemas.microsoft.com/office/spreadsheetml/2009/9/main" objectType="CheckBox" fmlaLink="AB16" lockText="1" noThreeD="1"/>
</file>

<file path=xl/ctrlProps/ctrlProp135.xml><?xml version="1.0" encoding="utf-8"?>
<formControlPr xmlns="http://schemas.microsoft.com/office/spreadsheetml/2009/9/main" objectType="CheckBox" fmlaLink="AB17" lockText="1" noThreeD="1"/>
</file>

<file path=xl/ctrlProps/ctrlProp136.xml><?xml version="1.0" encoding="utf-8"?>
<formControlPr xmlns="http://schemas.microsoft.com/office/spreadsheetml/2009/9/main" objectType="CheckBox" fmlaLink="AB20" lockText="1" noThreeD="1"/>
</file>

<file path=xl/ctrlProps/ctrlProp137.xml><?xml version="1.0" encoding="utf-8"?>
<formControlPr xmlns="http://schemas.microsoft.com/office/spreadsheetml/2009/9/main" objectType="CheckBox" fmlaLink="AB21" lockText="1" noThreeD="1"/>
</file>

<file path=xl/ctrlProps/ctrlProp138.xml><?xml version="1.0" encoding="utf-8"?>
<formControlPr xmlns="http://schemas.microsoft.com/office/spreadsheetml/2009/9/main" objectType="CheckBox" fmlaLink="AB22" lockText="1" noThreeD="1"/>
</file>

<file path=xl/ctrlProps/ctrlProp139.xml><?xml version="1.0" encoding="utf-8"?>
<formControlPr xmlns="http://schemas.microsoft.com/office/spreadsheetml/2009/9/main" objectType="CheckBox" fmlaLink="AB23" lockText="1" noThreeD="1"/>
</file>

<file path=xl/ctrlProps/ctrlProp140.xml><?xml version="1.0" encoding="utf-8"?>
<formControlPr xmlns="http://schemas.microsoft.com/office/spreadsheetml/2009/9/main" objectType="CheckBox" fmlaLink="AB25" lockText="1" noThreeD="1"/>
</file>

<file path=xl/ctrlProps/ctrlProp141.xml><?xml version="1.0" encoding="utf-8"?>
<formControlPr xmlns="http://schemas.microsoft.com/office/spreadsheetml/2009/9/main" objectType="CheckBox" fmlaLink="AB28" lockText="1" noThreeD="1"/>
</file>

<file path=xl/ctrlProps/ctrlProp142.xml><?xml version="1.0" encoding="utf-8"?>
<formControlPr xmlns="http://schemas.microsoft.com/office/spreadsheetml/2009/9/main" objectType="CheckBox" fmlaLink="AB29" lockText="1" noThreeD="1"/>
</file>

<file path=xl/ctrlProps/ctrlProp143.xml><?xml version="1.0" encoding="utf-8"?>
<formControlPr xmlns="http://schemas.microsoft.com/office/spreadsheetml/2009/9/main" objectType="CheckBox" fmlaLink="AB30" lockText="1" noThreeD="1"/>
</file>

<file path=xl/ctrlProps/ctrlProp144.xml><?xml version="1.0" encoding="utf-8"?>
<formControlPr xmlns="http://schemas.microsoft.com/office/spreadsheetml/2009/9/main" objectType="CheckBox" fmlaLink="AB32" lockText="1" noThreeD="1"/>
</file>

<file path=xl/ctrlProps/ctrlProp145.xml><?xml version="1.0" encoding="utf-8"?>
<formControlPr xmlns="http://schemas.microsoft.com/office/spreadsheetml/2009/9/main" objectType="CheckBox" fmlaLink="AB33" lockText="1" noThreeD="1"/>
</file>

<file path=xl/ctrlProps/ctrlProp146.xml><?xml version="1.0" encoding="utf-8"?>
<formControlPr xmlns="http://schemas.microsoft.com/office/spreadsheetml/2009/9/main" objectType="CheckBox" fmlaLink="AB34" lockText="1" noThreeD="1"/>
</file>

<file path=xl/ctrlProps/ctrlProp147.xml><?xml version="1.0" encoding="utf-8"?>
<formControlPr xmlns="http://schemas.microsoft.com/office/spreadsheetml/2009/9/main" objectType="CheckBox" fmlaLink="AB35" lockText="1" noThreeD="1"/>
</file>

<file path=xl/ctrlProps/ctrlProp148.xml><?xml version="1.0" encoding="utf-8"?>
<formControlPr xmlns="http://schemas.microsoft.com/office/spreadsheetml/2009/9/main" objectType="CheckBox" fmlaLink="AB37" lockText="1" noThreeD="1"/>
</file>

<file path=xl/ctrlProps/ctrlProp149.xml><?xml version="1.0" encoding="utf-8"?>
<formControlPr xmlns="http://schemas.microsoft.com/office/spreadsheetml/2009/9/main" objectType="CheckBox" fmlaLink="AB40" lockText="1" noThreeD="1"/>
</file>

<file path=xl/ctrlProps/ctrlProp150.xml><?xml version="1.0" encoding="utf-8"?>
<formControlPr xmlns="http://schemas.microsoft.com/office/spreadsheetml/2009/9/main" objectType="CheckBox" fmlaLink="AB41" lockText="1" noThreeD="1"/>
</file>

<file path=xl/ctrlProps/ctrlProp151.xml><?xml version="1.0" encoding="utf-8"?>
<formControlPr xmlns="http://schemas.microsoft.com/office/spreadsheetml/2009/9/main" objectType="CheckBox" fmlaLink="AB42" lockText="1" noThreeD="1"/>
</file>

<file path=xl/ctrlProps/ctrlProp152.xml><?xml version="1.0" encoding="utf-8"?>
<formControlPr xmlns="http://schemas.microsoft.com/office/spreadsheetml/2009/9/main" objectType="CheckBox" fmlaLink="AB44" lockText="1" noThreeD="1"/>
</file>

<file path=xl/ctrlProps/ctrlProp153.xml><?xml version="1.0" encoding="utf-8"?>
<formControlPr xmlns="http://schemas.microsoft.com/office/spreadsheetml/2009/9/main" objectType="CheckBox" fmlaLink="AB45" lockText="1" noThreeD="1"/>
</file>

<file path=xl/ctrlProps/ctrlProp154.xml><?xml version="1.0" encoding="utf-8"?>
<formControlPr xmlns="http://schemas.microsoft.com/office/spreadsheetml/2009/9/main" objectType="CheckBox" fmlaLink="AB46" lockText="1" noThreeD="1"/>
</file>

<file path=xl/ctrlProps/ctrlProp155.xml><?xml version="1.0" encoding="utf-8"?>
<formControlPr xmlns="http://schemas.microsoft.com/office/spreadsheetml/2009/9/main" objectType="CheckBox" fmlaLink="AB47" lockText="1" noThreeD="1"/>
</file>

<file path=xl/ctrlProps/ctrlProp156.xml><?xml version="1.0" encoding="utf-8"?>
<formControlPr xmlns="http://schemas.microsoft.com/office/spreadsheetml/2009/9/main" objectType="CheckBox" fmlaLink="AB48" lockText="1" noThreeD="1"/>
</file>

<file path=xl/ctrlProps/ctrlProp157.xml><?xml version="1.0" encoding="utf-8"?>
<formControlPr xmlns="http://schemas.microsoft.com/office/spreadsheetml/2009/9/main" objectType="CheckBox" fmlaLink="AB49" lockText="1" noThreeD="1"/>
</file>

<file path=xl/ctrlProps/ctrlProp158.xml><?xml version="1.0" encoding="utf-8"?>
<formControlPr xmlns="http://schemas.microsoft.com/office/spreadsheetml/2009/9/main" objectType="CheckBox" fmlaLink="AB52" lockText="1" noThreeD="1"/>
</file>

<file path=xl/ctrlProps/ctrlProp159.xml><?xml version="1.0" encoding="utf-8"?>
<formControlPr xmlns="http://schemas.microsoft.com/office/spreadsheetml/2009/9/main" objectType="CheckBox" fmlaLink="AB53" lockText="1" noThreeD="1"/>
</file>

<file path=xl/ctrlProps/ctrlProp160.xml><?xml version="1.0" encoding="utf-8"?>
<formControlPr xmlns="http://schemas.microsoft.com/office/spreadsheetml/2009/9/main" objectType="CheckBox" fmlaLink="AB54" lockText="1" noThreeD="1"/>
</file>

<file path=xl/ctrlProps/ctrlProp161.xml><?xml version="1.0" encoding="utf-8"?>
<formControlPr xmlns="http://schemas.microsoft.com/office/spreadsheetml/2009/9/main" objectType="CheckBox" fmlaLink="AB56" lockText="1" noThreeD="1"/>
</file>

<file path=xl/ctrlProps/ctrlProp162.xml><?xml version="1.0" encoding="utf-8"?>
<formControlPr xmlns="http://schemas.microsoft.com/office/spreadsheetml/2009/9/main" objectType="CheckBox" fmlaLink="AB57" lockText="1" noThreeD="1"/>
</file>

<file path=xl/ctrlProps/ctrlProp163.xml><?xml version="1.0" encoding="utf-8"?>
<formControlPr xmlns="http://schemas.microsoft.com/office/spreadsheetml/2009/9/main" objectType="CheckBox" fmlaLink="AB58" lockText="1" noThreeD="1"/>
</file>

<file path=xl/ctrlProps/ctrlProp164.xml><?xml version="1.0" encoding="utf-8"?>
<formControlPr xmlns="http://schemas.microsoft.com/office/spreadsheetml/2009/9/main" objectType="CheckBox" fmlaLink="AB59" lockText="1" noThreeD="1"/>
</file>

<file path=xl/ctrlProps/ctrlProp165.xml><?xml version="1.0" encoding="utf-8"?>
<formControlPr xmlns="http://schemas.microsoft.com/office/spreadsheetml/2009/9/main" objectType="CheckBox" fmlaLink="AB60" lockText="1" noThreeD="1"/>
</file>

<file path=xl/ctrlProps/ctrlProp166.xml><?xml version="1.0" encoding="utf-8"?>
<formControlPr xmlns="http://schemas.microsoft.com/office/spreadsheetml/2009/9/main" objectType="CheckBox" fmlaLink="AB61" lockText="1" noThreeD="1"/>
</file>

<file path=xl/ctrlProps/ctrlProp167.xml><?xml version="1.0" encoding="utf-8"?>
<formControlPr xmlns="http://schemas.microsoft.com/office/spreadsheetml/2009/9/main" objectType="CheckBox" fmlaLink="AA19" lockText="1" noThreeD="1"/>
</file>

<file path=xl/ctrlProps/ctrlProp168.xml><?xml version="1.0" encoding="utf-8"?>
<formControlPr xmlns="http://schemas.microsoft.com/office/spreadsheetml/2009/9/main" objectType="CheckBox" fmlaLink="AB19" lockText="1" noThreeD="1"/>
</file>

<file path=xl/ctrlProps/ctrlProp169.xml><?xml version="1.0" encoding="utf-8"?>
<formControlPr xmlns="http://schemas.microsoft.com/office/spreadsheetml/2009/9/main" objectType="CheckBox" fmlaLink="AA18" lockText="1" noThreeD="1"/>
</file>

<file path=xl/ctrlProps/ctrlProp170.xml><?xml version="1.0" encoding="utf-8"?>
<formControlPr xmlns="http://schemas.microsoft.com/office/spreadsheetml/2009/9/main" objectType="CheckBox" fmlaLink="AB18" lockText="1" noThreeD="1"/>
</file>

<file path=xl/ctrlProps/ctrlProp171.xml><?xml version="1.0" encoding="utf-8"?>
<formControlPr xmlns="http://schemas.microsoft.com/office/spreadsheetml/2009/9/main" objectType="CheckBox" fmlaLink="AA24" lockText="1" noThreeD="1"/>
</file>

<file path=xl/ctrlProps/ctrlProp172.xml><?xml version="1.0" encoding="utf-8"?>
<formControlPr xmlns="http://schemas.microsoft.com/office/spreadsheetml/2009/9/main" objectType="CheckBox" fmlaLink="AB24" lockText="1" noThreeD="1"/>
</file>

<file path=xl/ctrlProps/ctrlProp173.xml><?xml version="1.0" encoding="utf-8"?>
<formControlPr xmlns="http://schemas.microsoft.com/office/spreadsheetml/2009/9/main" objectType="CheckBox" fmlaLink="AA31" lockText="1" noThreeD="1"/>
</file>

<file path=xl/ctrlProps/ctrlProp174.xml><?xml version="1.0" encoding="utf-8"?>
<formControlPr xmlns="http://schemas.microsoft.com/office/spreadsheetml/2009/9/main" objectType="CheckBox" fmlaLink="AB31" lockText="1" noThreeD="1"/>
</file>

<file path=xl/ctrlProps/ctrlProp175.xml><?xml version="1.0" encoding="utf-8"?>
<formControlPr xmlns="http://schemas.microsoft.com/office/spreadsheetml/2009/9/main" objectType="CheckBox" fmlaLink="AA36" lockText="1" noThreeD="1"/>
</file>

<file path=xl/ctrlProps/ctrlProp176.xml><?xml version="1.0" encoding="utf-8"?>
<formControlPr xmlns="http://schemas.microsoft.com/office/spreadsheetml/2009/9/main" objectType="CheckBox" fmlaLink="AB36" lockText="1" noThreeD="1"/>
</file>

<file path=xl/ctrlProps/ctrlProp177.xml><?xml version="1.0" encoding="utf-8"?>
<formControlPr xmlns="http://schemas.microsoft.com/office/spreadsheetml/2009/9/main" objectType="CheckBox" fmlaLink="AA43" lockText="1" noThreeD="1"/>
</file>

<file path=xl/ctrlProps/ctrlProp178.xml><?xml version="1.0" encoding="utf-8"?>
<formControlPr xmlns="http://schemas.microsoft.com/office/spreadsheetml/2009/9/main" objectType="CheckBox" fmlaLink="AB43" lockText="1" noThreeD="1"/>
</file>

<file path=xl/ctrlProps/ctrlProp179.xml><?xml version="1.0" encoding="utf-8"?>
<formControlPr xmlns="http://schemas.microsoft.com/office/spreadsheetml/2009/9/main" objectType="CheckBox" fmlaLink="AA55" lockText="1" noThreeD="1"/>
</file>

<file path=xl/ctrlProps/ctrlProp180.xml><?xml version="1.0" encoding="utf-8"?>
<formControlPr xmlns="http://schemas.microsoft.com/office/spreadsheetml/2009/9/main" objectType="CheckBox" fmlaLink="AB55" lockText="1" noThreeD="1"/>
</file>

<file path=xl/ctrlProps/ctrlProp181.xml><?xml version="1.0" encoding="utf-8"?>
<formControlPr xmlns="http://schemas.microsoft.com/office/spreadsheetml/2009/9/main" objectType="CheckBox" fmlaLink="AA64" lockText="1" noThreeD="1"/>
</file>

<file path=xl/ctrlProps/ctrlProp182.xml><?xml version="1.0" encoding="utf-8"?>
<formControlPr xmlns="http://schemas.microsoft.com/office/spreadsheetml/2009/9/main" objectType="CheckBox" fmlaLink="AA65" lockText="1" noThreeD="1"/>
</file>

<file path=xl/ctrlProps/ctrlProp183.xml><?xml version="1.0" encoding="utf-8"?>
<formControlPr xmlns="http://schemas.microsoft.com/office/spreadsheetml/2009/9/main" objectType="CheckBox" fmlaLink="AA66" lockText="1" noThreeD="1"/>
</file>

<file path=xl/ctrlProps/ctrlProp184.xml><?xml version="1.0" encoding="utf-8"?>
<formControlPr xmlns="http://schemas.microsoft.com/office/spreadsheetml/2009/9/main" objectType="CheckBox" fmlaLink="AA68" lockText="1" noThreeD="1"/>
</file>

<file path=xl/ctrlProps/ctrlProp185.xml><?xml version="1.0" encoding="utf-8"?>
<formControlPr xmlns="http://schemas.microsoft.com/office/spreadsheetml/2009/9/main" objectType="CheckBox" fmlaLink="AA69" lockText="1" noThreeD="1"/>
</file>

<file path=xl/ctrlProps/ctrlProp186.xml><?xml version="1.0" encoding="utf-8"?>
<formControlPr xmlns="http://schemas.microsoft.com/office/spreadsheetml/2009/9/main" objectType="CheckBox" fmlaLink="AA70" lockText="1" noThreeD="1"/>
</file>

<file path=xl/ctrlProps/ctrlProp187.xml><?xml version="1.0" encoding="utf-8"?>
<formControlPr xmlns="http://schemas.microsoft.com/office/spreadsheetml/2009/9/main" objectType="CheckBox" fmlaLink="AA71" lockText="1" noThreeD="1"/>
</file>

<file path=xl/ctrlProps/ctrlProp188.xml><?xml version="1.0" encoding="utf-8"?>
<formControlPr xmlns="http://schemas.microsoft.com/office/spreadsheetml/2009/9/main" objectType="CheckBox" fmlaLink="AA72" lockText="1" noThreeD="1"/>
</file>

<file path=xl/ctrlProps/ctrlProp189.xml><?xml version="1.0" encoding="utf-8"?>
<formControlPr xmlns="http://schemas.microsoft.com/office/spreadsheetml/2009/9/main" objectType="CheckBox" fmlaLink="AA73" lockText="1" noThreeD="1"/>
</file>

<file path=xl/ctrlProps/ctrlProp190.xml><?xml version="1.0" encoding="utf-8"?>
<formControlPr xmlns="http://schemas.microsoft.com/office/spreadsheetml/2009/9/main" objectType="CheckBox" fmlaLink="AB64" lockText="1" noThreeD="1"/>
</file>

<file path=xl/ctrlProps/ctrlProp191.xml><?xml version="1.0" encoding="utf-8"?>
<formControlPr xmlns="http://schemas.microsoft.com/office/spreadsheetml/2009/9/main" objectType="CheckBox" fmlaLink="AB65" lockText="1" noThreeD="1"/>
</file>

<file path=xl/ctrlProps/ctrlProp192.xml><?xml version="1.0" encoding="utf-8"?>
<formControlPr xmlns="http://schemas.microsoft.com/office/spreadsheetml/2009/9/main" objectType="CheckBox" fmlaLink="AB66" lockText="1" noThreeD="1"/>
</file>

<file path=xl/ctrlProps/ctrlProp193.xml><?xml version="1.0" encoding="utf-8"?>
<formControlPr xmlns="http://schemas.microsoft.com/office/spreadsheetml/2009/9/main" objectType="CheckBox" fmlaLink="AB68" lockText="1" noThreeD="1"/>
</file>

<file path=xl/ctrlProps/ctrlProp194.xml><?xml version="1.0" encoding="utf-8"?>
<formControlPr xmlns="http://schemas.microsoft.com/office/spreadsheetml/2009/9/main" objectType="CheckBox" fmlaLink="AB69" lockText="1" noThreeD="1"/>
</file>

<file path=xl/ctrlProps/ctrlProp195.xml><?xml version="1.0" encoding="utf-8"?>
<formControlPr xmlns="http://schemas.microsoft.com/office/spreadsheetml/2009/9/main" objectType="CheckBox" fmlaLink="AB70" lockText="1" noThreeD="1"/>
</file>

<file path=xl/ctrlProps/ctrlProp196.xml><?xml version="1.0" encoding="utf-8"?>
<formControlPr xmlns="http://schemas.microsoft.com/office/spreadsheetml/2009/9/main" objectType="CheckBox" fmlaLink="AB71" lockText="1" noThreeD="1"/>
</file>

<file path=xl/ctrlProps/ctrlProp197.xml><?xml version="1.0" encoding="utf-8"?>
<formControlPr xmlns="http://schemas.microsoft.com/office/spreadsheetml/2009/9/main" objectType="CheckBox" fmlaLink="AB72" lockText="1" noThreeD="1"/>
</file>

<file path=xl/ctrlProps/ctrlProp198.xml><?xml version="1.0" encoding="utf-8"?>
<formControlPr xmlns="http://schemas.microsoft.com/office/spreadsheetml/2009/9/main" objectType="CheckBox" fmlaLink="AB73" lockText="1" noThreeD="1"/>
</file>

<file path=xl/ctrlProps/ctrlProp199.xml><?xml version="1.0" encoding="utf-8"?>
<formControlPr xmlns="http://schemas.microsoft.com/office/spreadsheetml/2009/9/main" objectType="CheckBox" fmlaLink="AA67" lockText="1" noThreeD="1"/>
</file>

<file path=xl/ctrlProps/ctrlProp200.xml><?xml version="1.0" encoding="utf-8"?>
<formControlPr xmlns="http://schemas.microsoft.com/office/spreadsheetml/2009/9/main" objectType="CheckBox" fmlaLink="AB67" lockText="1" noThreeD="1"/>
</file>

<file path=xl/ctrlProps/ctrlProp201.xml><?xml version="1.0" encoding="utf-8"?>
<formControlPr xmlns="http://schemas.microsoft.com/office/spreadsheetml/2009/9/main" objectType="CheckBox" fmlaLink="AA16" lockText="1" noThreeD="1"/>
</file>

<file path=xl/ctrlProps/ctrlProp202.xml><?xml version="1.0" encoding="utf-8"?>
<formControlPr xmlns="http://schemas.microsoft.com/office/spreadsheetml/2009/9/main" objectType="CheckBox" fmlaLink="AA17" lockText="1" noThreeD="1"/>
</file>

<file path=xl/ctrlProps/ctrlProp203.xml><?xml version="1.0" encoding="utf-8"?>
<formControlPr xmlns="http://schemas.microsoft.com/office/spreadsheetml/2009/9/main" objectType="CheckBox" fmlaLink="AA20" lockText="1" noThreeD="1"/>
</file>

<file path=xl/ctrlProps/ctrlProp204.xml><?xml version="1.0" encoding="utf-8"?>
<formControlPr xmlns="http://schemas.microsoft.com/office/spreadsheetml/2009/9/main" objectType="CheckBox" fmlaLink="AA21" lockText="1" noThreeD="1"/>
</file>

<file path=xl/ctrlProps/ctrlProp205.xml><?xml version="1.0" encoding="utf-8"?>
<formControlPr xmlns="http://schemas.microsoft.com/office/spreadsheetml/2009/9/main" objectType="CheckBox" fmlaLink="AA22" lockText="1" noThreeD="1"/>
</file>

<file path=xl/ctrlProps/ctrlProp206.xml><?xml version="1.0" encoding="utf-8"?>
<formControlPr xmlns="http://schemas.microsoft.com/office/spreadsheetml/2009/9/main" objectType="CheckBox" fmlaLink="AA23" lockText="1" noThreeD="1"/>
</file>

<file path=xl/ctrlProps/ctrlProp207.xml><?xml version="1.0" encoding="utf-8"?>
<formControlPr xmlns="http://schemas.microsoft.com/office/spreadsheetml/2009/9/main" objectType="CheckBox" fmlaLink="AA25" lockText="1" noThreeD="1"/>
</file>

<file path=xl/ctrlProps/ctrlProp208.xml><?xml version="1.0" encoding="utf-8"?>
<formControlPr xmlns="http://schemas.microsoft.com/office/spreadsheetml/2009/9/main" objectType="CheckBox" fmlaLink="AA28" lockText="1" noThreeD="1"/>
</file>

<file path=xl/ctrlProps/ctrlProp209.xml><?xml version="1.0" encoding="utf-8"?>
<formControlPr xmlns="http://schemas.microsoft.com/office/spreadsheetml/2009/9/main" objectType="CheckBox" fmlaLink="AA29" lockText="1" noThreeD="1"/>
</file>

<file path=xl/ctrlProps/ctrlProp210.xml><?xml version="1.0" encoding="utf-8"?>
<formControlPr xmlns="http://schemas.microsoft.com/office/spreadsheetml/2009/9/main" objectType="CheckBox" fmlaLink="AA30" lockText="1" noThreeD="1"/>
</file>

<file path=xl/ctrlProps/ctrlProp211.xml><?xml version="1.0" encoding="utf-8"?>
<formControlPr xmlns="http://schemas.microsoft.com/office/spreadsheetml/2009/9/main" objectType="CheckBox" fmlaLink="AA32" lockText="1" noThreeD="1"/>
</file>

<file path=xl/ctrlProps/ctrlProp212.xml><?xml version="1.0" encoding="utf-8"?>
<formControlPr xmlns="http://schemas.microsoft.com/office/spreadsheetml/2009/9/main" objectType="CheckBox" fmlaLink="AA33" lockText="1" noThreeD="1"/>
</file>

<file path=xl/ctrlProps/ctrlProp213.xml><?xml version="1.0" encoding="utf-8"?>
<formControlPr xmlns="http://schemas.microsoft.com/office/spreadsheetml/2009/9/main" objectType="CheckBox" fmlaLink="AA34" lockText="1" noThreeD="1"/>
</file>

<file path=xl/ctrlProps/ctrlProp214.xml><?xml version="1.0" encoding="utf-8"?>
<formControlPr xmlns="http://schemas.microsoft.com/office/spreadsheetml/2009/9/main" objectType="CheckBox" fmlaLink="AA35" lockText="1" noThreeD="1"/>
</file>

<file path=xl/ctrlProps/ctrlProp215.xml><?xml version="1.0" encoding="utf-8"?>
<formControlPr xmlns="http://schemas.microsoft.com/office/spreadsheetml/2009/9/main" objectType="CheckBox" fmlaLink="AA37" lockText="1" noThreeD="1"/>
</file>

<file path=xl/ctrlProps/ctrlProp216.xml><?xml version="1.0" encoding="utf-8"?>
<formControlPr xmlns="http://schemas.microsoft.com/office/spreadsheetml/2009/9/main" objectType="CheckBox" fmlaLink="AA40" lockText="1" noThreeD="1"/>
</file>

<file path=xl/ctrlProps/ctrlProp217.xml><?xml version="1.0" encoding="utf-8"?>
<formControlPr xmlns="http://schemas.microsoft.com/office/spreadsheetml/2009/9/main" objectType="CheckBox" fmlaLink="AA41" lockText="1" noThreeD="1"/>
</file>

<file path=xl/ctrlProps/ctrlProp218.xml><?xml version="1.0" encoding="utf-8"?>
<formControlPr xmlns="http://schemas.microsoft.com/office/spreadsheetml/2009/9/main" objectType="CheckBox" fmlaLink="AA42" lockText="1" noThreeD="1"/>
</file>

<file path=xl/ctrlProps/ctrlProp219.xml><?xml version="1.0" encoding="utf-8"?>
<formControlPr xmlns="http://schemas.microsoft.com/office/spreadsheetml/2009/9/main" objectType="CheckBox" fmlaLink="AA44" lockText="1" noThreeD="1"/>
</file>

<file path=xl/ctrlProps/ctrlProp220.xml><?xml version="1.0" encoding="utf-8"?>
<formControlPr xmlns="http://schemas.microsoft.com/office/spreadsheetml/2009/9/main" objectType="CheckBox" fmlaLink="AA45" lockText="1" noThreeD="1"/>
</file>

<file path=xl/ctrlProps/ctrlProp221.xml><?xml version="1.0" encoding="utf-8"?>
<formControlPr xmlns="http://schemas.microsoft.com/office/spreadsheetml/2009/9/main" objectType="CheckBox" fmlaLink="AA46" lockText="1" noThreeD="1"/>
</file>

<file path=xl/ctrlProps/ctrlProp222.xml><?xml version="1.0" encoding="utf-8"?>
<formControlPr xmlns="http://schemas.microsoft.com/office/spreadsheetml/2009/9/main" objectType="CheckBox" fmlaLink="AA47" lockText="1" noThreeD="1"/>
</file>

<file path=xl/ctrlProps/ctrlProp223.xml><?xml version="1.0" encoding="utf-8"?>
<formControlPr xmlns="http://schemas.microsoft.com/office/spreadsheetml/2009/9/main" objectType="CheckBox" fmlaLink="AA48" lockText="1" noThreeD="1"/>
</file>

<file path=xl/ctrlProps/ctrlProp224.xml><?xml version="1.0" encoding="utf-8"?>
<formControlPr xmlns="http://schemas.microsoft.com/office/spreadsheetml/2009/9/main" objectType="CheckBox" fmlaLink="AA49" lockText="1" noThreeD="1"/>
</file>

<file path=xl/ctrlProps/ctrlProp225.xml><?xml version="1.0" encoding="utf-8"?>
<formControlPr xmlns="http://schemas.microsoft.com/office/spreadsheetml/2009/9/main" objectType="CheckBox" fmlaLink="AA52" lockText="1" noThreeD="1"/>
</file>

<file path=xl/ctrlProps/ctrlProp226.xml><?xml version="1.0" encoding="utf-8"?>
<formControlPr xmlns="http://schemas.microsoft.com/office/spreadsheetml/2009/9/main" objectType="CheckBox" fmlaLink="AA53" lockText="1" noThreeD="1"/>
</file>

<file path=xl/ctrlProps/ctrlProp227.xml><?xml version="1.0" encoding="utf-8"?>
<formControlPr xmlns="http://schemas.microsoft.com/office/spreadsheetml/2009/9/main" objectType="CheckBox" fmlaLink="AA54" lockText="1" noThreeD="1"/>
</file>

<file path=xl/ctrlProps/ctrlProp228.xml><?xml version="1.0" encoding="utf-8"?>
<formControlPr xmlns="http://schemas.microsoft.com/office/spreadsheetml/2009/9/main" objectType="CheckBox" fmlaLink="AA56" lockText="1" noThreeD="1"/>
</file>

<file path=xl/ctrlProps/ctrlProp229.xml><?xml version="1.0" encoding="utf-8"?>
<formControlPr xmlns="http://schemas.microsoft.com/office/spreadsheetml/2009/9/main" objectType="CheckBox" fmlaLink="AA57" lockText="1" noThreeD="1"/>
</file>

<file path=xl/ctrlProps/ctrlProp230.xml><?xml version="1.0" encoding="utf-8"?>
<formControlPr xmlns="http://schemas.microsoft.com/office/spreadsheetml/2009/9/main" objectType="CheckBox" fmlaLink="AA58" lockText="1" noThreeD="1"/>
</file>

<file path=xl/ctrlProps/ctrlProp231.xml><?xml version="1.0" encoding="utf-8"?>
<formControlPr xmlns="http://schemas.microsoft.com/office/spreadsheetml/2009/9/main" objectType="CheckBox" fmlaLink="AA59" lockText="1" noThreeD="1"/>
</file>

<file path=xl/ctrlProps/ctrlProp232.xml><?xml version="1.0" encoding="utf-8"?>
<formControlPr xmlns="http://schemas.microsoft.com/office/spreadsheetml/2009/9/main" objectType="CheckBox" fmlaLink="AA60" lockText="1" noThreeD="1"/>
</file>

<file path=xl/ctrlProps/ctrlProp233.xml><?xml version="1.0" encoding="utf-8"?>
<formControlPr xmlns="http://schemas.microsoft.com/office/spreadsheetml/2009/9/main" objectType="CheckBox" fmlaLink="AA61" lockText="1" noThreeD="1"/>
</file>

<file path=xl/ctrlProps/ctrlProp234.xml><?xml version="1.0" encoding="utf-8"?>
<formControlPr xmlns="http://schemas.microsoft.com/office/spreadsheetml/2009/9/main" objectType="CheckBox" fmlaLink="AB16" lockText="1" noThreeD="1"/>
</file>

<file path=xl/ctrlProps/ctrlProp235.xml><?xml version="1.0" encoding="utf-8"?>
<formControlPr xmlns="http://schemas.microsoft.com/office/spreadsheetml/2009/9/main" objectType="CheckBox" fmlaLink="AB17" lockText="1" noThreeD="1"/>
</file>

<file path=xl/ctrlProps/ctrlProp236.xml><?xml version="1.0" encoding="utf-8"?>
<formControlPr xmlns="http://schemas.microsoft.com/office/spreadsheetml/2009/9/main" objectType="CheckBox" fmlaLink="AB20" lockText="1" noThreeD="1"/>
</file>

<file path=xl/ctrlProps/ctrlProp237.xml><?xml version="1.0" encoding="utf-8"?>
<formControlPr xmlns="http://schemas.microsoft.com/office/spreadsheetml/2009/9/main" objectType="CheckBox" fmlaLink="AB21" lockText="1" noThreeD="1"/>
</file>

<file path=xl/ctrlProps/ctrlProp238.xml><?xml version="1.0" encoding="utf-8"?>
<formControlPr xmlns="http://schemas.microsoft.com/office/spreadsheetml/2009/9/main" objectType="CheckBox" fmlaLink="AB22" lockText="1" noThreeD="1"/>
</file>

<file path=xl/ctrlProps/ctrlProp239.xml><?xml version="1.0" encoding="utf-8"?>
<formControlPr xmlns="http://schemas.microsoft.com/office/spreadsheetml/2009/9/main" objectType="CheckBox" fmlaLink="AB23" lockText="1" noThreeD="1"/>
</file>

<file path=xl/ctrlProps/ctrlProp240.xml><?xml version="1.0" encoding="utf-8"?>
<formControlPr xmlns="http://schemas.microsoft.com/office/spreadsheetml/2009/9/main" objectType="CheckBox" fmlaLink="AB25" lockText="1" noThreeD="1"/>
</file>

<file path=xl/ctrlProps/ctrlProp241.xml><?xml version="1.0" encoding="utf-8"?>
<formControlPr xmlns="http://schemas.microsoft.com/office/spreadsheetml/2009/9/main" objectType="CheckBox" fmlaLink="AB28" lockText="1" noThreeD="1"/>
</file>

<file path=xl/ctrlProps/ctrlProp242.xml><?xml version="1.0" encoding="utf-8"?>
<formControlPr xmlns="http://schemas.microsoft.com/office/spreadsheetml/2009/9/main" objectType="CheckBox" fmlaLink="AB29" lockText="1" noThreeD="1"/>
</file>

<file path=xl/ctrlProps/ctrlProp243.xml><?xml version="1.0" encoding="utf-8"?>
<formControlPr xmlns="http://schemas.microsoft.com/office/spreadsheetml/2009/9/main" objectType="CheckBox" fmlaLink="AB30" lockText="1" noThreeD="1"/>
</file>

<file path=xl/ctrlProps/ctrlProp244.xml><?xml version="1.0" encoding="utf-8"?>
<formControlPr xmlns="http://schemas.microsoft.com/office/spreadsheetml/2009/9/main" objectType="CheckBox" fmlaLink="AB32" lockText="1" noThreeD="1"/>
</file>

<file path=xl/ctrlProps/ctrlProp245.xml><?xml version="1.0" encoding="utf-8"?>
<formControlPr xmlns="http://schemas.microsoft.com/office/spreadsheetml/2009/9/main" objectType="CheckBox" fmlaLink="AB33" lockText="1" noThreeD="1"/>
</file>

<file path=xl/ctrlProps/ctrlProp246.xml><?xml version="1.0" encoding="utf-8"?>
<formControlPr xmlns="http://schemas.microsoft.com/office/spreadsheetml/2009/9/main" objectType="CheckBox" fmlaLink="AB34" lockText="1" noThreeD="1"/>
</file>

<file path=xl/ctrlProps/ctrlProp247.xml><?xml version="1.0" encoding="utf-8"?>
<formControlPr xmlns="http://schemas.microsoft.com/office/spreadsheetml/2009/9/main" objectType="CheckBox" fmlaLink="AB35" lockText="1" noThreeD="1"/>
</file>

<file path=xl/ctrlProps/ctrlProp248.xml><?xml version="1.0" encoding="utf-8"?>
<formControlPr xmlns="http://schemas.microsoft.com/office/spreadsheetml/2009/9/main" objectType="CheckBox" fmlaLink="AB37" lockText="1" noThreeD="1"/>
</file>

<file path=xl/ctrlProps/ctrlProp249.xml><?xml version="1.0" encoding="utf-8"?>
<formControlPr xmlns="http://schemas.microsoft.com/office/spreadsheetml/2009/9/main" objectType="CheckBox" fmlaLink="AB40" lockText="1" noThreeD="1"/>
</file>

<file path=xl/ctrlProps/ctrlProp250.xml><?xml version="1.0" encoding="utf-8"?>
<formControlPr xmlns="http://schemas.microsoft.com/office/spreadsheetml/2009/9/main" objectType="CheckBox" fmlaLink="AB41" lockText="1" noThreeD="1"/>
</file>

<file path=xl/ctrlProps/ctrlProp251.xml><?xml version="1.0" encoding="utf-8"?>
<formControlPr xmlns="http://schemas.microsoft.com/office/spreadsheetml/2009/9/main" objectType="CheckBox" fmlaLink="AB42" lockText="1" noThreeD="1"/>
</file>

<file path=xl/ctrlProps/ctrlProp252.xml><?xml version="1.0" encoding="utf-8"?>
<formControlPr xmlns="http://schemas.microsoft.com/office/spreadsheetml/2009/9/main" objectType="CheckBox" fmlaLink="AB44" lockText="1" noThreeD="1"/>
</file>

<file path=xl/ctrlProps/ctrlProp253.xml><?xml version="1.0" encoding="utf-8"?>
<formControlPr xmlns="http://schemas.microsoft.com/office/spreadsheetml/2009/9/main" objectType="CheckBox" fmlaLink="AB45" lockText="1" noThreeD="1"/>
</file>

<file path=xl/ctrlProps/ctrlProp254.xml><?xml version="1.0" encoding="utf-8"?>
<formControlPr xmlns="http://schemas.microsoft.com/office/spreadsheetml/2009/9/main" objectType="CheckBox" fmlaLink="AB46" lockText="1" noThreeD="1"/>
</file>

<file path=xl/ctrlProps/ctrlProp255.xml><?xml version="1.0" encoding="utf-8"?>
<formControlPr xmlns="http://schemas.microsoft.com/office/spreadsheetml/2009/9/main" objectType="CheckBox" fmlaLink="AB47" lockText="1" noThreeD="1"/>
</file>

<file path=xl/ctrlProps/ctrlProp256.xml><?xml version="1.0" encoding="utf-8"?>
<formControlPr xmlns="http://schemas.microsoft.com/office/spreadsheetml/2009/9/main" objectType="CheckBox" fmlaLink="AB48" lockText="1" noThreeD="1"/>
</file>

<file path=xl/ctrlProps/ctrlProp257.xml><?xml version="1.0" encoding="utf-8"?>
<formControlPr xmlns="http://schemas.microsoft.com/office/spreadsheetml/2009/9/main" objectType="CheckBox" fmlaLink="AB49" lockText="1" noThreeD="1"/>
</file>

<file path=xl/ctrlProps/ctrlProp258.xml><?xml version="1.0" encoding="utf-8"?>
<formControlPr xmlns="http://schemas.microsoft.com/office/spreadsheetml/2009/9/main" objectType="CheckBox" fmlaLink="AB52" lockText="1" noThreeD="1"/>
</file>

<file path=xl/ctrlProps/ctrlProp259.xml><?xml version="1.0" encoding="utf-8"?>
<formControlPr xmlns="http://schemas.microsoft.com/office/spreadsheetml/2009/9/main" objectType="CheckBox" fmlaLink="AB53" lockText="1" noThreeD="1"/>
</file>

<file path=xl/ctrlProps/ctrlProp260.xml><?xml version="1.0" encoding="utf-8"?>
<formControlPr xmlns="http://schemas.microsoft.com/office/spreadsheetml/2009/9/main" objectType="CheckBox" fmlaLink="AB54" lockText="1" noThreeD="1"/>
</file>

<file path=xl/ctrlProps/ctrlProp261.xml><?xml version="1.0" encoding="utf-8"?>
<formControlPr xmlns="http://schemas.microsoft.com/office/spreadsheetml/2009/9/main" objectType="CheckBox" fmlaLink="AB56" lockText="1" noThreeD="1"/>
</file>

<file path=xl/ctrlProps/ctrlProp262.xml><?xml version="1.0" encoding="utf-8"?>
<formControlPr xmlns="http://schemas.microsoft.com/office/spreadsheetml/2009/9/main" objectType="CheckBox" fmlaLink="AB57" lockText="1" noThreeD="1"/>
</file>

<file path=xl/ctrlProps/ctrlProp263.xml><?xml version="1.0" encoding="utf-8"?>
<formControlPr xmlns="http://schemas.microsoft.com/office/spreadsheetml/2009/9/main" objectType="CheckBox" fmlaLink="AB58" lockText="1" noThreeD="1"/>
</file>

<file path=xl/ctrlProps/ctrlProp264.xml><?xml version="1.0" encoding="utf-8"?>
<formControlPr xmlns="http://schemas.microsoft.com/office/spreadsheetml/2009/9/main" objectType="CheckBox" fmlaLink="AB59" lockText="1" noThreeD="1"/>
</file>

<file path=xl/ctrlProps/ctrlProp265.xml><?xml version="1.0" encoding="utf-8"?>
<formControlPr xmlns="http://schemas.microsoft.com/office/spreadsheetml/2009/9/main" objectType="CheckBox" fmlaLink="AB60" lockText="1" noThreeD="1"/>
</file>

<file path=xl/ctrlProps/ctrlProp266.xml><?xml version="1.0" encoding="utf-8"?>
<formControlPr xmlns="http://schemas.microsoft.com/office/spreadsheetml/2009/9/main" objectType="CheckBox" fmlaLink="AB61" lockText="1" noThreeD="1"/>
</file>

<file path=xl/ctrlProps/ctrlProp267.xml><?xml version="1.0" encoding="utf-8"?>
<formControlPr xmlns="http://schemas.microsoft.com/office/spreadsheetml/2009/9/main" objectType="CheckBox" fmlaLink="AA19" lockText="1" noThreeD="1"/>
</file>

<file path=xl/ctrlProps/ctrlProp268.xml><?xml version="1.0" encoding="utf-8"?>
<formControlPr xmlns="http://schemas.microsoft.com/office/spreadsheetml/2009/9/main" objectType="CheckBox" fmlaLink="AB19" lockText="1" noThreeD="1"/>
</file>

<file path=xl/ctrlProps/ctrlProp269.xml><?xml version="1.0" encoding="utf-8"?>
<formControlPr xmlns="http://schemas.microsoft.com/office/spreadsheetml/2009/9/main" objectType="CheckBox" fmlaLink="AA18" lockText="1" noThreeD="1"/>
</file>

<file path=xl/ctrlProps/ctrlProp270.xml><?xml version="1.0" encoding="utf-8"?>
<formControlPr xmlns="http://schemas.microsoft.com/office/spreadsheetml/2009/9/main" objectType="CheckBox" fmlaLink="AB18" lockText="1" noThreeD="1"/>
</file>

<file path=xl/ctrlProps/ctrlProp271.xml><?xml version="1.0" encoding="utf-8"?>
<formControlPr xmlns="http://schemas.microsoft.com/office/spreadsheetml/2009/9/main" objectType="CheckBox" fmlaLink="AA24" lockText="1" noThreeD="1"/>
</file>

<file path=xl/ctrlProps/ctrlProp272.xml><?xml version="1.0" encoding="utf-8"?>
<formControlPr xmlns="http://schemas.microsoft.com/office/spreadsheetml/2009/9/main" objectType="CheckBox" fmlaLink="AB24" lockText="1" noThreeD="1"/>
</file>

<file path=xl/ctrlProps/ctrlProp273.xml><?xml version="1.0" encoding="utf-8"?>
<formControlPr xmlns="http://schemas.microsoft.com/office/spreadsheetml/2009/9/main" objectType="CheckBox" fmlaLink="AA31" lockText="1" noThreeD="1"/>
</file>

<file path=xl/ctrlProps/ctrlProp274.xml><?xml version="1.0" encoding="utf-8"?>
<formControlPr xmlns="http://schemas.microsoft.com/office/spreadsheetml/2009/9/main" objectType="CheckBox" fmlaLink="AB31" lockText="1" noThreeD="1"/>
</file>

<file path=xl/ctrlProps/ctrlProp275.xml><?xml version="1.0" encoding="utf-8"?>
<formControlPr xmlns="http://schemas.microsoft.com/office/spreadsheetml/2009/9/main" objectType="CheckBox" fmlaLink="AA36" lockText="1" noThreeD="1"/>
</file>

<file path=xl/ctrlProps/ctrlProp276.xml><?xml version="1.0" encoding="utf-8"?>
<formControlPr xmlns="http://schemas.microsoft.com/office/spreadsheetml/2009/9/main" objectType="CheckBox" fmlaLink="AB36" lockText="1" noThreeD="1"/>
</file>

<file path=xl/ctrlProps/ctrlProp277.xml><?xml version="1.0" encoding="utf-8"?>
<formControlPr xmlns="http://schemas.microsoft.com/office/spreadsheetml/2009/9/main" objectType="CheckBox" fmlaLink="AA43" lockText="1" noThreeD="1"/>
</file>

<file path=xl/ctrlProps/ctrlProp278.xml><?xml version="1.0" encoding="utf-8"?>
<formControlPr xmlns="http://schemas.microsoft.com/office/spreadsheetml/2009/9/main" objectType="CheckBox" fmlaLink="AB43" lockText="1" noThreeD="1"/>
</file>

<file path=xl/ctrlProps/ctrlProp279.xml><?xml version="1.0" encoding="utf-8"?>
<formControlPr xmlns="http://schemas.microsoft.com/office/spreadsheetml/2009/9/main" objectType="CheckBox" fmlaLink="AA55" lockText="1" noThreeD="1"/>
</file>

<file path=xl/ctrlProps/ctrlProp280.xml><?xml version="1.0" encoding="utf-8"?>
<formControlPr xmlns="http://schemas.microsoft.com/office/spreadsheetml/2009/9/main" objectType="CheckBox" fmlaLink="AB55" lockText="1" noThreeD="1"/>
</file>

<file path=xl/ctrlProps/ctrlProp281.xml><?xml version="1.0" encoding="utf-8"?>
<formControlPr xmlns="http://schemas.microsoft.com/office/spreadsheetml/2009/9/main" objectType="CheckBox" fmlaLink="AA64" lockText="1" noThreeD="1"/>
</file>

<file path=xl/ctrlProps/ctrlProp282.xml><?xml version="1.0" encoding="utf-8"?>
<formControlPr xmlns="http://schemas.microsoft.com/office/spreadsheetml/2009/9/main" objectType="CheckBox" fmlaLink="AA65" lockText="1" noThreeD="1"/>
</file>

<file path=xl/ctrlProps/ctrlProp283.xml><?xml version="1.0" encoding="utf-8"?>
<formControlPr xmlns="http://schemas.microsoft.com/office/spreadsheetml/2009/9/main" objectType="CheckBox" fmlaLink="AA66" lockText="1" noThreeD="1"/>
</file>

<file path=xl/ctrlProps/ctrlProp284.xml><?xml version="1.0" encoding="utf-8"?>
<formControlPr xmlns="http://schemas.microsoft.com/office/spreadsheetml/2009/9/main" objectType="CheckBox" fmlaLink="AA68" lockText="1" noThreeD="1"/>
</file>

<file path=xl/ctrlProps/ctrlProp285.xml><?xml version="1.0" encoding="utf-8"?>
<formControlPr xmlns="http://schemas.microsoft.com/office/spreadsheetml/2009/9/main" objectType="CheckBox" fmlaLink="AA69" lockText="1" noThreeD="1"/>
</file>

<file path=xl/ctrlProps/ctrlProp286.xml><?xml version="1.0" encoding="utf-8"?>
<formControlPr xmlns="http://schemas.microsoft.com/office/spreadsheetml/2009/9/main" objectType="CheckBox" fmlaLink="AA70" lockText="1" noThreeD="1"/>
</file>

<file path=xl/ctrlProps/ctrlProp287.xml><?xml version="1.0" encoding="utf-8"?>
<formControlPr xmlns="http://schemas.microsoft.com/office/spreadsheetml/2009/9/main" objectType="CheckBox" fmlaLink="AA71" lockText="1" noThreeD="1"/>
</file>

<file path=xl/ctrlProps/ctrlProp288.xml><?xml version="1.0" encoding="utf-8"?>
<formControlPr xmlns="http://schemas.microsoft.com/office/spreadsheetml/2009/9/main" objectType="CheckBox" fmlaLink="AA72" lockText="1" noThreeD="1"/>
</file>

<file path=xl/ctrlProps/ctrlProp289.xml><?xml version="1.0" encoding="utf-8"?>
<formControlPr xmlns="http://schemas.microsoft.com/office/spreadsheetml/2009/9/main" objectType="CheckBox" fmlaLink="AA73" lockText="1" noThreeD="1"/>
</file>

<file path=xl/ctrlProps/ctrlProp290.xml><?xml version="1.0" encoding="utf-8"?>
<formControlPr xmlns="http://schemas.microsoft.com/office/spreadsheetml/2009/9/main" objectType="CheckBox" fmlaLink="AB64" lockText="1" noThreeD="1"/>
</file>

<file path=xl/ctrlProps/ctrlProp291.xml><?xml version="1.0" encoding="utf-8"?>
<formControlPr xmlns="http://schemas.microsoft.com/office/spreadsheetml/2009/9/main" objectType="CheckBox" fmlaLink="AB65" lockText="1" noThreeD="1"/>
</file>

<file path=xl/ctrlProps/ctrlProp292.xml><?xml version="1.0" encoding="utf-8"?>
<formControlPr xmlns="http://schemas.microsoft.com/office/spreadsheetml/2009/9/main" objectType="CheckBox" fmlaLink="AB66" lockText="1" noThreeD="1"/>
</file>

<file path=xl/ctrlProps/ctrlProp293.xml><?xml version="1.0" encoding="utf-8"?>
<formControlPr xmlns="http://schemas.microsoft.com/office/spreadsheetml/2009/9/main" objectType="CheckBox" fmlaLink="AB68" lockText="1" noThreeD="1"/>
</file>

<file path=xl/ctrlProps/ctrlProp294.xml><?xml version="1.0" encoding="utf-8"?>
<formControlPr xmlns="http://schemas.microsoft.com/office/spreadsheetml/2009/9/main" objectType="CheckBox" fmlaLink="AB69" lockText="1" noThreeD="1"/>
</file>

<file path=xl/ctrlProps/ctrlProp295.xml><?xml version="1.0" encoding="utf-8"?>
<formControlPr xmlns="http://schemas.microsoft.com/office/spreadsheetml/2009/9/main" objectType="CheckBox" fmlaLink="AB70" lockText="1" noThreeD="1"/>
</file>

<file path=xl/ctrlProps/ctrlProp296.xml><?xml version="1.0" encoding="utf-8"?>
<formControlPr xmlns="http://schemas.microsoft.com/office/spreadsheetml/2009/9/main" objectType="CheckBox" fmlaLink="AB71" lockText="1" noThreeD="1"/>
</file>

<file path=xl/ctrlProps/ctrlProp297.xml><?xml version="1.0" encoding="utf-8"?>
<formControlPr xmlns="http://schemas.microsoft.com/office/spreadsheetml/2009/9/main" objectType="CheckBox" fmlaLink="AB72" lockText="1" noThreeD="1"/>
</file>

<file path=xl/ctrlProps/ctrlProp298.xml><?xml version="1.0" encoding="utf-8"?>
<formControlPr xmlns="http://schemas.microsoft.com/office/spreadsheetml/2009/9/main" objectType="CheckBox" fmlaLink="AB73" lockText="1" noThreeD="1"/>
</file>

<file path=xl/ctrlProps/ctrlProp299.xml><?xml version="1.0" encoding="utf-8"?>
<formControlPr xmlns="http://schemas.microsoft.com/office/spreadsheetml/2009/9/main" objectType="CheckBox" fmlaLink="AA67" lockText="1" noThreeD="1"/>
</file>

<file path=xl/ctrlProps/ctrlProp300.xml><?xml version="1.0" encoding="utf-8"?>
<formControlPr xmlns="http://schemas.microsoft.com/office/spreadsheetml/2009/9/main" objectType="CheckBox" fmlaLink="AB67" lockText="1" noThreeD="1"/>
</file>

<file path=xl/ctrlProps/ctrlProp301.xml><?xml version="1.0" encoding="utf-8"?>
<formControlPr xmlns="http://schemas.microsoft.com/office/spreadsheetml/2009/9/main" objectType="CheckBox" fmlaLink="AA16" lockText="1" noThreeD="1"/>
</file>

<file path=xl/ctrlProps/ctrlProp302.xml><?xml version="1.0" encoding="utf-8"?>
<formControlPr xmlns="http://schemas.microsoft.com/office/spreadsheetml/2009/9/main" objectType="CheckBox" fmlaLink="AA17" lockText="1" noThreeD="1"/>
</file>

<file path=xl/ctrlProps/ctrlProp303.xml><?xml version="1.0" encoding="utf-8"?>
<formControlPr xmlns="http://schemas.microsoft.com/office/spreadsheetml/2009/9/main" objectType="CheckBox" fmlaLink="AA20" lockText="1" noThreeD="1"/>
</file>

<file path=xl/ctrlProps/ctrlProp304.xml><?xml version="1.0" encoding="utf-8"?>
<formControlPr xmlns="http://schemas.microsoft.com/office/spreadsheetml/2009/9/main" objectType="CheckBox" fmlaLink="AA21" lockText="1" noThreeD="1"/>
</file>

<file path=xl/ctrlProps/ctrlProp305.xml><?xml version="1.0" encoding="utf-8"?>
<formControlPr xmlns="http://schemas.microsoft.com/office/spreadsheetml/2009/9/main" objectType="CheckBox" fmlaLink="AA22" lockText="1" noThreeD="1"/>
</file>

<file path=xl/ctrlProps/ctrlProp306.xml><?xml version="1.0" encoding="utf-8"?>
<formControlPr xmlns="http://schemas.microsoft.com/office/spreadsheetml/2009/9/main" objectType="CheckBox" fmlaLink="AA23" lockText="1" noThreeD="1"/>
</file>

<file path=xl/ctrlProps/ctrlProp307.xml><?xml version="1.0" encoding="utf-8"?>
<formControlPr xmlns="http://schemas.microsoft.com/office/spreadsheetml/2009/9/main" objectType="CheckBox" fmlaLink="AA25" lockText="1" noThreeD="1"/>
</file>

<file path=xl/ctrlProps/ctrlProp308.xml><?xml version="1.0" encoding="utf-8"?>
<formControlPr xmlns="http://schemas.microsoft.com/office/spreadsheetml/2009/9/main" objectType="CheckBox" fmlaLink="AA28" lockText="1" noThreeD="1"/>
</file>

<file path=xl/ctrlProps/ctrlProp309.xml><?xml version="1.0" encoding="utf-8"?>
<formControlPr xmlns="http://schemas.microsoft.com/office/spreadsheetml/2009/9/main" objectType="CheckBox" fmlaLink="AA29" lockText="1" noThreeD="1"/>
</file>

<file path=xl/ctrlProps/ctrlProp310.xml><?xml version="1.0" encoding="utf-8"?>
<formControlPr xmlns="http://schemas.microsoft.com/office/spreadsheetml/2009/9/main" objectType="CheckBox" fmlaLink="AA30" lockText="1" noThreeD="1"/>
</file>

<file path=xl/ctrlProps/ctrlProp311.xml><?xml version="1.0" encoding="utf-8"?>
<formControlPr xmlns="http://schemas.microsoft.com/office/spreadsheetml/2009/9/main" objectType="CheckBox" fmlaLink="AA32" lockText="1" noThreeD="1"/>
</file>

<file path=xl/ctrlProps/ctrlProp312.xml><?xml version="1.0" encoding="utf-8"?>
<formControlPr xmlns="http://schemas.microsoft.com/office/spreadsheetml/2009/9/main" objectType="CheckBox" fmlaLink="AA33" lockText="1" noThreeD="1"/>
</file>

<file path=xl/ctrlProps/ctrlProp313.xml><?xml version="1.0" encoding="utf-8"?>
<formControlPr xmlns="http://schemas.microsoft.com/office/spreadsheetml/2009/9/main" objectType="CheckBox" fmlaLink="AA34" lockText="1" noThreeD="1"/>
</file>

<file path=xl/ctrlProps/ctrlProp314.xml><?xml version="1.0" encoding="utf-8"?>
<formControlPr xmlns="http://schemas.microsoft.com/office/spreadsheetml/2009/9/main" objectType="CheckBox" fmlaLink="AA35" lockText="1" noThreeD="1"/>
</file>

<file path=xl/ctrlProps/ctrlProp315.xml><?xml version="1.0" encoding="utf-8"?>
<formControlPr xmlns="http://schemas.microsoft.com/office/spreadsheetml/2009/9/main" objectType="CheckBox" fmlaLink="AA37" lockText="1" noThreeD="1"/>
</file>

<file path=xl/ctrlProps/ctrlProp316.xml><?xml version="1.0" encoding="utf-8"?>
<formControlPr xmlns="http://schemas.microsoft.com/office/spreadsheetml/2009/9/main" objectType="CheckBox" fmlaLink="AA40" lockText="1" noThreeD="1"/>
</file>

<file path=xl/ctrlProps/ctrlProp317.xml><?xml version="1.0" encoding="utf-8"?>
<formControlPr xmlns="http://schemas.microsoft.com/office/spreadsheetml/2009/9/main" objectType="CheckBox" fmlaLink="AA41" lockText="1" noThreeD="1"/>
</file>

<file path=xl/ctrlProps/ctrlProp318.xml><?xml version="1.0" encoding="utf-8"?>
<formControlPr xmlns="http://schemas.microsoft.com/office/spreadsheetml/2009/9/main" objectType="CheckBox" fmlaLink="AA42" lockText="1" noThreeD="1"/>
</file>

<file path=xl/ctrlProps/ctrlProp319.xml><?xml version="1.0" encoding="utf-8"?>
<formControlPr xmlns="http://schemas.microsoft.com/office/spreadsheetml/2009/9/main" objectType="CheckBox" fmlaLink="AA44" lockText="1" noThreeD="1"/>
</file>

<file path=xl/ctrlProps/ctrlProp320.xml><?xml version="1.0" encoding="utf-8"?>
<formControlPr xmlns="http://schemas.microsoft.com/office/spreadsheetml/2009/9/main" objectType="CheckBox" fmlaLink="AA45" lockText="1" noThreeD="1"/>
</file>

<file path=xl/ctrlProps/ctrlProp321.xml><?xml version="1.0" encoding="utf-8"?>
<formControlPr xmlns="http://schemas.microsoft.com/office/spreadsheetml/2009/9/main" objectType="CheckBox" fmlaLink="AA46" lockText="1" noThreeD="1"/>
</file>

<file path=xl/ctrlProps/ctrlProp322.xml><?xml version="1.0" encoding="utf-8"?>
<formControlPr xmlns="http://schemas.microsoft.com/office/spreadsheetml/2009/9/main" objectType="CheckBox" fmlaLink="AA47" lockText="1" noThreeD="1"/>
</file>

<file path=xl/ctrlProps/ctrlProp323.xml><?xml version="1.0" encoding="utf-8"?>
<formControlPr xmlns="http://schemas.microsoft.com/office/spreadsheetml/2009/9/main" objectType="CheckBox" fmlaLink="AA48" lockText="1" noThreeD="1"/>
</file>

<file path=xl/ctrlProps/ctrlProp324.xml><?xml version="1.0" encoding="utf-8"?>
<formControlPr xmlns="http://schemas.microsoft.com/office/spreadsheetml/2009/9/main" objectType="CheckBox" fmlaLink="AA49" lockText="1" noThreeD="1"/>
</file>

<file path=xl/ctrlProps/ctrlProp325.xml><?xml version="1.0" encoding="utf-8"?>
<formControlPr xmlns="http://schemas.microsoft.com/office/spreadsheetml/2009/9/main" objectType="CheckBox" fmlaLink="AA52" lockText="1" noThreeD="1"/>
</file>

<file path=xl/ctrlProps/ctrlProp326.xml><?xml version="1.0" encoding="utf-8"?>
<formControlPr xmlns="http://schemas.microsoft.com/office/spreadsheetml/2009/9/main" objectType="CheckBox" fmlaLink="AA53" lockText="1" noThreeD="1"/>
</file>

<file path=xl/ctrlProps/ctrlProp327.xml><?xml version="1.0" encoding="utf-8"?>
<formControlPr xmlns="http://schemas.microsoft.com/office/spreadsheetml/2009/9/main" objectType="CheckBox" fmlaLink="AA54" lockText="1" noThreeD="1"/>
</file>

<file path=xl/ctrlProps/ctrlProp328.xml><?xml version="1.0" encoding="utf-8"?>
<formControlPr xmlns="http://schemas.microsoft.com/office/spreadsheetml/2009/9/main" objectType="CheckBox" fmlaLink="AA56" lockText="1" noThreeD="1"/>
</file>

<file path=xl/ctrlProps/ctrlProp329.xml><?xml version="1.0" encoding="utf-8"?>
<formControlPr xmlns="http://schemas.microsoft.com/office/spreadsheetml/2009/9/main" objectType="CheckBox" fmlaLink="AA57" lockText="1" noThreeD="1"/>
</file>

<file path=xl/ctrlProps/ctrlProp330.xml><?xml version="1.0" encoding="utf-8"?>
<formControlPr xmlns="http://schemas.microsoft.com/office/spreadsheetml/2009/9/main" objectType="CheckBox" fmlaLink="AA58" lockText="1" noThreeD="1"/>
</file>

<file path=xl/ctrlProps/ctrlProp331.xml><?xml version="1.0" encoding="utf-8"?>
<formControlPr xmlns="http://schemas.microsoft.com/office/spreadsheetml/2009/9/main" objectType="CheckBox" fmlaLink="AA59" lockText="1" noThreeD="1"/>
</file>

<file path=xl/ctrlProps/ctrlProp332.xml><?xml version="1.0" encoding="utf-8"?>
<formControlPr xmlns="http://schemas.microsoft.com/office/spreadsheetml/2009/9/main" objectType="CheckBox" fmlaLink="AA60" lockText="1" noThreeD="1"/>
</file>

<file path=xl/ctrlProps/ctrlProp333.xml><?xml version="1.0" encoding="utf-8"?>
<formControlPr xmlns="http://schemas.microsoft.com/office/spreadsheetml/2009/9/main" objectType="CheckBox" fmlaLink="AA61" lockText="1" noThreeD="1"/>
</file>

<file path=xl/ctrlProps/ctrlProp334.xml><?xml version="1.0" encoding="utf-8"?>
<formControlPr xmlns="http://schemas.microsoft.com/office/spreadsheetml/2009/9/main" objectType="CheckBox" fmlaLink="AB16" lockText="1" noThreeD="1"/>
</file>

<file path=xl/ctrlProps/ctrlProp335.xml><?xml version="1.0" encoding="utf-8"?>
<formControlPr xmlns="http://schemas.microsoft.com/office/spreadsheetml/2009/9/main" objectType="CheckBox" fmlaLink="AB17" lockText="1" noThreeD="1"/>
</file>

<file path=xl/ctrlProps/ctrlProp336.xml><?xml version="1.0" encoding="utf-8"?>
<formControlPr xmlns="http://schemas.microsoft.com/office/spreadsheetml/2009/9/main" objectType="CheckBox" fmlaLink="AB20" lockText="1" noThreeD="1"/>
</file>

<file path=xl/ctrlProps/ctrlProp337.xml><?xml version="1.0" encoding="utf-8"?>
<formControlPr xmlns="http://schemas.microsoft.com/office/spreadsheetml/2009/9/main" objectType="CheckBox" fmlaLink="AB21" lockText="1" noThreeD="1"/>
</file>

<file path=xl/ctrlProps/ctrlProp338.xml><?xml version="1.0" encoding="utf-8"?>
<formControlPr xmlns="http://schemas.microsoft.com/office/spreadsheetml/2009/9/main" objectType="CheckBox" fmlaLink="AB22" lockText="1" noThreeD="1"/>
</file>

<file path=xl/ctrlProps/ctrlProp339.xml><?xml version="1.0" encoding="utf-8"?>
<formControlPr xmlns="http://schemas.microsoft.com/office/spreadsheetml/2009/9/main" objectType="CheckBox" fmlaLink="AB23" lockText="1" noThreeD="1"/>
</file>

<file path=xl/ctrlProps/ctrlProp340.xml><?xml version="1.0" encoding="utf-8"?>
<formControlPr xmlns="http://schemas.microsoft.com/office/spreadsheetml/2009/9/main" objectType="CheckBox" fmlaLink="AB25" lockText="1" noThreeD="1"/>
</file>

<file path=xl/ctrlProps/ctrlProp341.xml><?xml version="1.0" encoding="utf-8"?>
<formControlPr xmlns="http://schemas.microsoft.com/office/spreadsheetml/2009/9/main" objectType="CheckBox" fmlaLink="AB28" lockText="1" noThreeD="1"/>
</file>

<file path=xl/ctrlProps/ctrlProp342.xml><?xml version="1.0" encoding="utf-8"?>
<formControlPr xmlns="http://schemas.microsoft.com/office/spreadsheetml/2009/9/main" objectType="CheckBox" fmlaLink="AB29" lockText="1" noThreeD="1"/>
</file>

<file path=xl/ctrlProps/ctrlProp343.xml><?xml version="1.0" encoding="utf-8"?>
<formControlPr xmlns="http://schemas.microsoft.com/office/spreadsheetml/2009/9/main" objectType="CheckBox" fmlaLink="AB30" lockText="1" noThreeD="1"/>
</file>

<file path=xl/ctrlProps/ctrlProp344.xml><?xml version="1.0" encoding="utf-8"?>
<formControlPr xmlns="http://schemas.microsoft.com/office/spreadsheetml/2009/9/main" objectType="CheckBox" fmlaLink="AB32" lockText="1" noThreeD="1"/>
</file>

<file path=xl/ctrlProps/ctrlProp345.xml><?xml version="1.0" encoding="utf-8"?>
<formControlPr xmlns="http://schemas.microsoft.com/office/spreadsheetml/2009/9/main" objectType="CheckBox" fmlaLink="AB33" lockText="1" noThreeD="1"/>
</file>

<file path=xl/ctrlProps/ctrlProp346.xml><?xml version="1.0" encoding="utf-8"?>
<formControlPr xmlns="http://schemas.microsoft.com/office/spreadsheetml/2009/9/main" objectType="CheckBox" fmlaLink="AB34" lockText="1" noThreeD="1"/>
</file>

<file path=xl/ctrlProps/ctrlProp347.xml><?xml version="1.0" encoding="utf-8"?>
<formControlPr xmlns="http://schemas.microsoft.com/office/spreadsheetml/2009/9/main" objectType="CheckBox" fmlaLink="AB35" lockText="1" noThreeD="1"/>
</file>

<file path=xl/ctrlProps/ctrlProp348.xml><?xml version="1.0" encoding="utf-8"?>
<formControlPr xmlns="http://schemas.microsoft.com/office/spreadsheetml/2009/9/main" objectType="CheckBox" fmlaLink="AB37" lockText="1" noThreeD="1"/>
</file>

<file path=xl/ctrlProps/ctrlProp349.xml><?xml version="1.0" encoding="utf-8"?>
<formControlPr xmlns="http://schemas.microsoft.com/office/spreadsheetml/2009/9/main" objectType="CheckBox" fmlaLink="AB40" lockText="1" noThreeD="1"/>
</file>

<file path=xl/ctrlProps/ctrlProp350.xml><?xml version="1.0" encoding="utf-8"?>
<formControlPr xmlns="http://schemas.microsoft.com/office/spreadsheetml/2009/9/main" objectType="CheckBox" fmlaLink="AB41" lockText="1" noThreeD="1"/>
</file>

<file path=xl/ctrlProps/ctrlProp351.xml><?xml version="1.0" encoding="utf-8"?>
<formControlPr xmlns="http://schemas.microsoft.com/office/spreadsheetml/2009/9/main" objectType="CheckBox" fmlaLink="AB42" lockText="1" noThreeD="1"/>
</file>

<file path=xl/ctrlProps/ctrlProp352.xml><?xml version="1.0" encoding="utf-8"?>
<formControlPr xmlns="http://schemas.microsoft.com/office/spreadsheetml/2009/9/main" objectType="CheckBox" fmlaLink="AB44" lockText="1" noThreeD="1"/>
</file>

<file path=xl/ctrlProps/ctrlProp353.xml><?xml version="1.0" encoding="utf-8"?>
<formControlPr xmlns="http://schemas.microsoft.com/office/spreadsheetml/2009/9/main" objectType="CheckBox" fmlaLink="AB45" lockText="1" noThreeD="1"/>
</file>

<file path=xl/ctrlProps/ctrlProp354.xml><?xml version="1.0" encoding="utf-8"?>
<formControlPr xmlns="http://schemas.microsoft.com/office/spreadsheetml/2009/9/main" objectType="CheckBox" fmlaLink="AB46" lockText="1" noThreeD="1"/>
</file>

<file path=xl/ctrlProps/ctrlProp355.xml><?xml version="1.0" encoding="utf-8"?>
<formControlPr xmlns="http://schemas.microsoft.com/office/spreadsheetml/2009/9/main" objectType="CheckBox" fmlaLink="AB47" lockText="1" noThreeD="1"/>
</file>

<file path=xl/ctrlProps/ctrlProp356.xml><?xml version="1.0" encoding="utf-8"?>
<formControlPr xmlns="http://schemas.microsoft.com/office/spreadsheetml/2009/9/main" objectType="CheckBox" fmlaLink="AB48" lockText="1" noThreeD="1"/>
</file>

<file path=xl/ctrlProps/ctrlProp357.xml><?xml version="1.0" encoding="utf-8"?>
<formControlPr xmlns="http://schemas.microsoft.com/office/spreadsheetml/2009/9/main" objectType="CheckBox" fmlaLink="AB49" lockText="1" noThreeD="1"/>
</file>

<file path=xl/ctrlProps/ctrlProp358.xml><?xml version="1.0" encoding="utf-8"?>
<formControlPr xmlns="http://schemas.microsoft.com/office/spreadsheetml/2009/9/main" objectType="CheckBox" fmlaLink="AB52" lockText="1" noThreeD="1"/>
</file>

<file path=xl/ctrlProps/ctrlProp359.xml><?xml version="1.0" encoding="utf-8"?>
<formControlPr xmlns="http://schemas.microsoft.com/office/spreadsheetml/2009/9/main" objectType="CheckBox" fmlaLink="AB53" lockText="1" noThreeD="1"/>
</file>

<file path=xl/ctrlProps/ctrlProp360.xml><?xml version="1.0" encoding="utf-8"?>
<formControlPr xmlns="http://schemas.microsoft.com/office/spreadsheetml/2009/9/main" objectType="CheckBox" fmlaLink="AB54" lockText="1" noThreeD="1"/>
</file>

<file path=xl/ctrlProps/ctrlProp361.xml><?xml version="1.0" encoding="utf-8"?>
<formControlPr xmlns="http://schemas.microsoft.com/office/spreadsheetml/2009/9/main" objectType="CheckBox" fmlaLink="AB56" lockText="1" noThreeD="1"/>
</file>

<file path=xl/ctrlProps/ctrlProp362.xml><?xml version="1.0" encoding="utf-8"?>
<formControlPr xmlns="http://schemas.microsoft.com/office/spreadsheetml/2009/9/main" objectType="CheckBox" fmlaLink="AB57" lockText="1" noThreeD="1"/>
</file>

<file path=xl/ctrlProps/ctrlProp363.xml><?xml version="1.0" encoding="utf-8"?>
<formControlPr xmlns="http://schemas.microsoft.com/office/spreadsheetml/2009/9/main" objectType="CheckBox" fmlaLink="AB58" lockText="1" noThreeD="1"/>
</file>

<file path=xl/ctrlProps/ctrlProp364.xml><?xml version="1.0" encoding="utf-8"?>
<formControlPr xmlns="http://schemas.microsoft.com/office/spreadsheetml/2009/9/main" objectType="CheckBox" fmlaLink="AB59" lockText="1" noThreeD="1"/>
</file>

<file path=xl/ctrlProps/ctrlProp365.xml><?xml version="1.0" encoding="utf-8"?>
<formControlPr xmlns="http://schemas.microsoft.com/office/spreadsheetml/2009/9/main" objectType="CheckBox" fmlaLink="AB60" lockText="1" noThreeD="1"/>
</file>

<file path=xl/ctrlProps/ctrlProp366.xml><?xml version="1.0" encoding="utf-8"?>
<formControlPr xmlns="http://schemas.microsoft.com/office/spreadsheetml/2009/9/main" objectType="CheckBox" fmlaLink="AB61" lockText="1" noThreeD="1"/>
</file>

<file path=xl/ctrlProps/ctrlProp367.xml><?xml version="1.0" encoding="utf-8"?>
<formControlPr xmlns="http://schemas.microsoft.com/office/spreadsheetml/2009/9/main" objectType="CheckBox" fmlaLink="AA19" lockText="1" noThreeD="1"/>
</file>

<file path=xl/ctrlProps/ctrlProp368.xml><?xml version="1.0" encoding="utf-8"?>
<formControlPr xmlns="http://schemas.microsoft.com/office/spreadsheetml/2009/9/main" objectType="CheckBox" fmlaLink="AB19" lockText="1" noThreeD="1"/>
</file>

<file path=xl/ctrlProps/ctrlProp369.xml><?xml version="1.0" encoding="utf-8"?>
<formControlPr xmlns="http://schemas.microsoft.com/office/spreadsheetml/2009/9/main" objectType="CheckBox" fmlaLink="AA18" lockText="1" noThreeD="1"/>
</file>

<file path=xl/ctrlProps/ctrlProp370.xml><?xml version="1.0" encoding="utf-8"?>
<formControlPr xmlns="http://schemas.microsoft.com/office/spreadsheetml/2009/9/main" objectType="CheckBox" fmlaLink="AB18" lockText="1" noThreeD="1"/>
</file>

<file path=xl/ctrlProps/ctrlProp371.xml><?xml version="1.0" encoding="utf-8"?>
<formControlPr xmlns="http://schemas.microsoft.com/office/spreadsheetml/2009/9/main" objectType="CheckBox" fmlaLink="AA24" lockText="1" noThreeD="1"/>
</file>

<file path=xl/ctrlProps/ctrlProp372.xml><?xml version="1.0" encoding="utf-8"?>
<formControlPr xmlns="http://schemas.microsoft.com/office/spreadsheetml/2009/9/main" objectType="CheckBox" fmlaLink="AB24" lockText="1" noThreeD="1"/>
</file>

<file path=xl/ctrlProps/ctrlProp373.xml><?xml version="1.0" encoding="utf-8"?>
<formControlPr xmlns="http://schemas.microsoft.com/office/spreadsheetml/2009/9/main" objectType="CheckBox" fmlaLink="AA31" lockText="1" noThreeD="1"/>
</file>

<file path=xl/ctrlProps/ctrlProp374.xml><?xml version="1.0" encoding="utf-8"?>
<formControlPr xmlns="http://schemas.microsoft.com/office/spreadsheetml/2009/9/main" objectType="CheckBox" fmlaLink="AB31" lockText="1" noThreeD="1"/>
</file>

<file path=xl/ctrlProps/ctrlProp375.xml><?xml version="1.0" encoding="utf-8"?>
<formControlPr xmlns="http://schemas.microsoft.com/office/spreadsheetml/2009/9/main" objectType="CheckBox" fmlaLink="AA36" lockText="1" noThreeD="1"/>
</file>

<file path=xl/ctrlProps/ctrlProp376.xml><?xml version="1.0" encoding="utf-8"?>
<formControlPr xmlns="http://schemas.microsoft.com/office/spreadsheetml/2009/9/main" objectType="CheckBox" fmlaLink="AB36" lockText="1" noThreeD="1"/>
</file>

<file path=xl/ctrlProps/ctrlProp377.xml><?xml version="1.0" encoding="utf-8"?>
<formControlPr xmlns="http://schemas.microsoft.com/office/spreadsheetml/2009/9/main" objectType="CheckBox" fmlaLink="AA43" lockText="1" noThreeD="1"/>
</file>

<file path=xl/ctrlProps/ctrlProp378.xml><?xml version="1.0" encoding="utf-8"?>
<formControlPr xmlns="http://schemas.microsoft.com/office/spreadsheetml/2009/9/main" objectType="CheckBox" fmlaLink="AB43" lockText="1" noThreeD="1"/>
</file>

<file path=xl/ctrlProps/ctrlProp379.xml><?xml version="1.0" encoding="utf-8"?>
<formControlPr xmlns="http://schemas.microsoft.com/office/spreadsheetml/2009/9/main" objectType="CheckBox" fmlaLink="AA55" lockText="1" noThreeD="1"/>
</file>

<file path=xl/ctrlProps/ctrlProp380.xml><?xml version="1.0" encoding="utf-8"?>
<formControlPr xmlns="http://schemas.microsoft.com/office/spreadsheetml/2009/9/main" objectType="CheckBox" fmlaLink="AB55" lockText="1" noThreeD="1"/>
</file>

<file path=xl/ctrlProps/ctrlProp381.xml><?xml version="1.0" encoding="utf-8"?>
<formControlPr xmlns="http://schemas.microsoft.com/office/spreadsheetml/2009/9/main" objectType="CheckBox" fmlaLink="AA64" lockText="1" noThreeD="1"/>
</file>

<file path=xl/ctrlProps/ctrlProp382.xml><?xml version="1.0" encoding="utf-8"?>
<formControlPr xmlns="http://schemas.microsoft.com/office/spreadsheetml/2009/9/main" objectType="CheckBox" fmlaLink="AA65" lockText="1" noThreeD="1"/>
</file>

<file path=xl/ctrlProps/ctrlProp383.xml><?xml version="1.0" encoding="utf-8"?>
<formControlPr xmlns="http://schemas.microsoft.com/office/spreadsheetml/2009/9/main" objectType="CheckBox" fmlaLink="AA66" lockText="1" noThreeD="1"/>
</file>

<file path=xl/ctrlProps/ctrlProp384.xml><?xml version="1.0" encoding="utf-8"?>
<formControlPr xmlns="http://schemas.microsoft.com/office/spreadsheetml/2009/9/main" objectType="CheckBox" fmlaLink="AA68" lockText="1" noThreeD="1"/>
</file>

<file path=xl/ctrlProps/ctrlProp385.xml><?xml version="1.0" encoding="utf-8"?>
<formControlPr xmlns="http://schemas.microsoft.com/office/spreadsheetml/2009/9/main" objectType="CheckBox" fmlaLink="AA69" lockText="1" noThreeD="1"/>
</file>

<file path=xl/ctrlProps/ctrlProp386.xml><?xml version="1.0" encoding="utf-8"?>
<formControlPr xmlns="http://schemas.microsoft.com/office/spreadsheetml/2009/9/main" objectType="CheckBox" fmlaLink="AA70" lockText="1" noThreeD="1"/>
</file>

<file path=xl/ctrlProps/ctrlProp387.xml><?xml version="1.0" encoding="utf-8"?>
<formControlPr xmlns="http://schemas.microsoft.com/office/spreadsheetml/2009/9/main" objectType="CheckBox" fmlaLink="AA71" lockText="1" noThreeD="1"/>
</file>

<file path=xl/ctrlProps/ctrlProp388.xml><?xml version="1.0" encoding="utf-8"?>
<formControlPr xmlns="http://schemas.microsoft.com/office/spreadsheetml/2009/9/main" objectType="CheckBox" fmlaLink="AA72" lockText="1" noThreeD="1"/>
</file>

<file path=xl/ctrlProps/ctrlProp389.xml><?xml version="1.0" encoding="utf-8"?>
<formControlPr xmlns="http://schemas.microsoft.com/office/spreadsheetml/2009/9/main" objectType="CheckBox" fmlaLink="AA73" lockText="1" noThreeD="1"/>
</file>

<file path=xl/ctrlProps/ctrlProp390.xml><?xml version="1.0" encoding="utf-8"?>
<formControlPr xmlns="http://schemas.microsoft.com/office/spreadsheetml/2009/9/main" objectType="CheckBox" fmlaLink="AB64" lockText="1" noThreeD="1"/>
</file>

<file path=xl/ctrlProps/ctrlProp391.xml><?xml version="1.0" encoding="utf-8"?>
<formControlPr xmlns="http://schemas.microsoft.com/office/spreadsheetml/2009/9/main" objectType="CheckBox" fmlaLink="AB65" lockText="1" noThreeD="1"/>
</file>

<file path=xl/ctrlProps/ctrlProp392.xml><?xml version="1.0" encoding="utf-8"?>
<formControlPr xmlns="http://schemas.microsoft.com/office/spreadsheetml/2009/9/main" objectType="CheckBox" fmlaLink="AB66" lockText="1" noThreeD="1"/>
</file>

<file path=xl/ctrlProps/ctrlProp393.xml><?xml version="1.0" encoding="utf-8"?>
<formControlPr xmlns="http://schemas.microsoft.com/office/spreadsheetml/2009/9/main" objectType="CheckBox" fmlaLink="AB68" lockText="1" noThreeD="1"/>
</file>

<file path=xl/ctrlProps/ctrlProp394.xml><?xml version="1.0" encoding="utf-8"?>
<formControlPr xmlns="http://schemas.microsoft.com/office/spreadsheetml/2009/9/main" objectType="CheckBox" fmlaLink="AB69" lockText="1" noThreeD="1"/>
</file>

<file path=xl/ctrlProps/ctrlProp395.xml><?xml version="1.0" encoding="utf-8"?>
<formControlPr xmlns="http://schemas.microsoft.com/office/spreadsheetml/2009/9/main" objectType="CheckBox" fmlaLink="AB70" lockText="1" noThreeD="1"/>
</file>

<file path=xl/ctrlProps/ctrlProp396.xml><?xml version="1.0" encoding="utf-8"?>
<formControlPr xmlns="http://schemas.microsoft.com/office/spreadsheetml/2009/9/main" objectType="CheckBox" fmlaLink="AB71" lockText="1" noThreeD="1"/>
</file>

<file path=xl/ctrlProps/ctrlProp397.xml><?xml version="1.0" encoding="utf-8"?>
<formControlPr xmlns="http://schemas.microsoft.com/office/spreadsheetml/2009/9/main" objectType="CheckBox" fmlaLink="AB72" lockText="1" noThreeD="1"/>
</file>

<file path=xl/ctrlProps/ctrlProp398.xml><?xml version="1.0" encoding="utf-8"?>
<formControlPr xmlns="http://schemas.microsoft.com/office/spreadsheetml/2009/9/main" objectType="CheckBox" fmlaLink="AB73" lockText="1" noThreeD="1"/>
</file>

<file path=xl/ctrlProps/ctrlProp399.xml><?xml version="1.0" encoding="utf-8"?>
<formControlPr xmlns="http://schemas.microsoft.com/office/spreadsheetml/2009/9/main" objectType="CheckBox" fmlaLink="AA67" lockText="1" noThreeD="1"/>
</file>

<file path=xl/ctrlProps/ctrlProp400.xml><?xml version="1.0" encoding="utf-8"?>
<formControlPr xmlns="http://schemas.microsoft.com/office/spreadsheetml/2009/9/main" objectType="CheckBox" fmlaLink="AB67" lockText="1" noThreeD="1"/>
</file>

<file path=xl/ctrlProps/ctrlProp401.xml><?xml version="1.0" encoding="utf-8"?>
<formControlPr xmlns="http://schemas.microsoft.com/office/spreadsheetml/2009/9/main" objectType="CheckBox" fmlaLink="AA16" lockText="1" noThreeD="1"/>
</file>

<file path=xl/ctrlProps/ctrlProp402.xml><?xml version="1.0" encoding="utf-8"?>
<formControlPr xmlns="http://schemas.microsoft.com/office/spreadsheetml/2009/9/main" objectType="CheckBox" fmlaLink="AA17" lockText="1" noThreeD="1"/>
</file>

<file path=xl/ctrlProps/ctrlProp403.xml><?xml version="1.0" encoding="utf-8"?>
<formControlPr xmlns="http://schemas.microsoft.com/office/spreadsheetml/2009/9/main" objectType="CheckBox" fmlaLink="AA20" lockText="1" noThreeD="1"/>
</file>

<file path=xl/ctrlProps/ctrlProp404.xml><?xml version="1.0" encoding="utf-8"?>
<formControlPr xmlns="http://schemas.microsoft.com/office/spreadsheetml/2009/9/main" objectType="CheckBox" fmlaLink="AA21" lockText="1" noThreeD="1"/>
</file>

<file path=xl/ctrlProps/ctrlProp405.xml><?xml version="1.0" encoding="utf-8"?>
<formControlPr xmlns="http://schemas.microsoft.com/office/spreadsheetml/2009/9/main" objectType="CheckBox" fmlaLink="AA22" lockText="1" noThreeD="1"/>
</file>

<file path=xl/ctrlProps/ctrlProp406.xml><?xml version="1.0" encoding="utf-8"?>
<formControlPr xmlns="http://schemas.microsoft.com/office/spreadsheetml/2009/9/main" objectType="CheckBox" fmlaLink="AA23" lockText="1" noThreeD="1"/>
</file>

<file path=xl/ctrlProps/ctrlProp407.xml><?xml version="1.0" encoding="utf-8"?>
<formControlPr xmlns="http://schemas.microsoft.com/office/spreadsheetml/2009/9/main" objectType="CheckBox" fmlaLink="AA25" lockText="1" noThreeD="1"/>
</file>

<file path=xl/ctrlProps/ctrlProp408.xml><?xml version="1.0" encoding="utf-8"?>
<formControlPr xmlns="http://schemas.microsoft.com/office/spreadsheetml/2009/9/main" objectType="CheckBox" fmlaLink="AA28" lockText="1" noThreeD="1"/>
</file>

<file path=xl/ctrlProps/ctrlProp409.xml><?xml version="1.0" encoding="utf-8"?>
<formControlPr xmlns="http://schemas.microsoft.com/office/spreadsheetml/2009/9/main" objectType="CheckBox" fmlaLink="AA29" lockText="1" noThreeD="1"/>
</file>

<file path=xl/ctrlProps/ctrlProp410.xml><?xml version="1.0" encoding="utf-8"?>
<formControlPr xmlns="http://schemas.microsoft.com/office/spreadsheetml/2009/9/main" objectType="CheckBox" fmlaLink="AA30" lockText="1" noThreeD="1"/>
</file>

<file path=xl/ctrlProps/ctrlProp411.xml><?xml version="1.0" encoding="utf-8"?>
<formControlPr xmlns="http://schemas.microsoft.com/office/spreadsheetml/2009/9/main" objectType="CheckBox" fmlaLink="AA32" lockText="1" noThreeD="1"/>
</file>

<file path=xl/ctrlProps/ctrlProp412.xml><?xml version="1.0" encoding="utf-8"?>
<formControlPr xmlns="http://schemas.microsoft.com/office/spreadsheetml/2009/9/main" objectType="CheckBox" fmlaLink="AA33" lockText="1" noThreeD="1"/>
</file>

<file path=xl/ctrlProps/ctrlProp413.xml><?xml version="1.0" encoding="utf-8"?>
<formControlPr xmlns="http://schemas.microsoft.com/office/spreadsheetml/2009/9/main" objectType="CheckBox" fmlaLink="AA34" lockText="1" noThreeD="1"/>
</file>

<file path=xl/ctrlProps/ctrlProp414.xml><?xml version="1.0" encoding="utf-8"?>
<formControlPr xmlns="http://schemas.microsoft.com/office/spreadsheetml/2009/9/main" objectType="CheckBox" fmlaLink="AA35" lockText="1" noThreeD="1"/>
</file>

<file path=xl/ctrlProps/ctrlProp415.xml><?xml version="1.0" encoding="utf-8"?>
<formControlPr xmlns="http://schemas.microsoft.com/office/spreadsheetml/2009/9/main" objectType="CheckBox" fmlaLink="AA37" lockText="1" noThreeD="1"/>
</file>

<file path=xl/ctrlProps/ctrlProp416.xml><?xml version="1.0" encoding="utf-8"?>
<formControlPr xmlns="http://schemas.microsoft.com/office/spreadsheetml/2009/9/main" objectType="CheckBox" fmlaLink="AA40" lockText="1" noThreeD="1"/>
</file>

<file path=xl/ctrlProps/ctrlProp417.xml><?xml version="1.0" encoding="utf-8"?>
<formControlPr xmlns="http://schemas.microsoft.com/office/spreadsheetml/2009/9/main" objectType="CheckBox" fmlaLink="AA41" lockText="1" noThreeD="1"/>
</file>

<file path=xl/ctrlProps/ctrlProp418.xml><?xml version="1.0" encoding="utf-8"?>
<formControlPr xmlns="http://schemas.microsoft.com/office/spreadsheetml/2009/9/main" objectType="CheckBox" fmlaLink="AA42" lockText="1" noThreeD="1"/>
</file>

<file path=xl/ctrlProps/ctrlProp419.xml><?xml version="1.0" encoding="utf-8"?>
<formControlPr xmlns="http://schemas.microsoft.com/office/spreadsheetml/2009/9/main" objectType="CheckBox" fmlaLink="AA44" lockText="1" noThreeD="1"/>
</file>

<file path=xl/ctrlProps/ctrlProp420.xml><?xml version="1.0" encoding="utf-8"?>
<formControlPr xmlns="http://schemas.microsoft.com/office/spreadsheetml/2009/9/main" objectType="CheckBox" fmlaLink="AA45" lockText="1" noThreeD="1"/>
</file>

<file path=xl/ctrlProps/ctrlProp421.xml><?xml version="1.0" encoding="utf-8"?>
<formControlPr xmlns="http://schemas.microsoft.com/office/spreadsheetml/2009/9/main" objectType="CheckBox" fmlaLink="AA46" lockText="1" noThreeD="1"/>
</file>

<file path=xl/ctrlProps/ctrlProp422.xml><?xml version="1.0" encoding="utf-8"?>
<formControlPr xmlns="http://schemas.microsoft.com/office/spreadsheetml/2009/9/main" objectType="CheckBox" fmlaLink="AA47" lockText="1" noThreeD="1"/>
</file>

<file path=xl/ctrlProps/ctrlProp423.xml><?xml version="1.0" encoding="utf-8"?>
<formControlPr xmlns="http://schemas.microsoft.com/office/spreadsheetml/2009/9/main" objectType="CheckBox" fmlaLink="AA48" lockText="1" noThreeD="1"/>
</file>

<file path=xl/ctrlProps/ctrlProp424.xml><?xml version="1.0" encoding="utf-8"?>
<formControlPr xmlns="http://schemas.microsoft.com/office/spreadsheetml/2009/9/main" objectType="CheckBox" fmlaLink="AA49" lockText="1" noThreeD="1"/>
</file>

<file path=xl/ctrlProps/ctrlProp425.xml><?xml version="1.0" encoding="utf-8"?>
<formControlPr xmlns="http://schemas.microsoft.com/office/spreadsheetml/2009/9/main" objectType="CheckBox" fmlaLink="AA52" lockText="1" noThreeD="1"/>
</file>

<file path=xl/ctrlProps/ctrlProp426.xml><?xml version="1.0" encoding="utf-8"?>
<formControlPr xmlns="http://schemas.microsoft.com/office/spreadsheetml/2009/9/main" objectType="CheckBox" fmlaLink="AA53" lockText="1" noThreeD="1"/>
</file>

<file path=xl/ctrlProps/ctrlProp427.xml><?xml version="1.0" encoding="utf-8"?>
<formControlPr xmlns="http://schemas.microsoft.com/office/spreadsheetml/2009/9/main" objectType="CheckBox" fmlaLink="AA54" lockText="1" noThreeD="1"/>
</file>

<file path=xl/ctrlProps/ctrlProp428.xml><?xml version="1.0" encoding="utf-8"?>
<formControlPr xmlns="http://schemas.microsoft.com/office/spreadsheetml/2009/9/main" objectType="CheckBox" fmlaLink="AA56" lockText="1" noThreeD="1"/>
</file>

<file path=xl/ctrlProps/ctrlProp429.xml><?xml version="1.0" encoding="utf-8"?>
<formControlPr xmlns="http://schemas.microsoft.com/office/spreadsheetml/2009/9/main" objectType="CheckBox" fmlaLink="AA57" lockText="1" noThreeD="1"/>
</file>

<file path=xl/ctrlProps/ctrlProp430.xml><?xml version="1.0" encoding="utf-8"?>
<formControlPr xmlns="http://schemas.microsoft.com/office/spreadsheetml/2009/9/main" objectType="CheckBox" fmlaLink="AA58" lockText="1" noThreeD="1"/>
</file>

<file path=xl/ctrlProps/ctrlProp431.xml><?xml version="1.0" encoding="utf-8"?>
<formControlPr xmlns="http://schemas.microsoft.com/office/spreadsheetml/2009/9/main" objectType="CheckBox" fmlaLink="AA59" lockText="1" noThreeD="1"/>
</file>

<file path=xl/ctrlProps/ctrlProp432.xml><?xml version="1.0" encoding="utf-8"?>
<formControlPr xmlns="http://schemas.microsoft.com/office/spreadsheetml/2009/9/main" objectType="CheckBox" fmlaLink="AA60" lockText="1" noThreeD="1"/>
</file>

<file path=xl/ctrlProps/ctrlProp433.xml><?xml version="1.0" encoding="utf-8"?>
<formControlPr xmlns="http://schemas.microsoft.com/office/spreadsheetml/2009/9/main" objectType="CheckBox" fmlaLink="AA61" lockText="1" noThreeD="1"/>
</file>

<file path=xl/ctrlProps/ctrlProp434.xml><?xml version="1.0" encoding="utf-8"?>
<formControlPr xmlns="http://schemas.microsoft.com/office/spreadsheetml/2009/9/main" objectType="CheckBox" fmlaLink="AB16" lockText="1" noThreeD="1"/>
</file>

<file path=xl/ctrlProps/ctrlProp435.xml><?xml version="1.0" encoding="utf-8"?>
<formControlPr xmlns="http://schemas.microsoft.com/office/spreadsheetml/2009/9/main" objectType="CheckBox" fmlaLink="AB17" lockText="1" noThreeD="1"/>
</file>

<file path=xl/ctrlProps/ctrlProp436.xml><?xml version="1.0" encoding="utf-8"?>
<formControlPr xmlns="http://schemas.microsoft.com/office/spreadsheetml/2009/9/main" objectType="CheckBox" fmlaLink="AB20" lockText="1" noThreeD="1"/>
</file>

<file path=xl/ctrlProps/ctrlProp437.xml><?xml version="1.0" encoding="utf-8"?>
<formControlPr xmlns="http://schemas.microsoft.com/office/spreadsheetml/2009/9/main" objectType="CheckBox" fmlaLink="AB21" lockText="1" noThreeD="1"/>
</file>

<file path=xl/ctrlProps/ctrlProp438.xml><?xml version="1.0" encoding="utf-8"?>
<formControlPr xmlns="http://schemas.microsoft.com/office/spreadsheetml/2009/9/main" objectType="CheckBox" fmlaLink="AB22" lockText="1" noThreeD="1"/>
</file>

<file path=xl/ctrlProps/ctrlProp439.xml><?xml version="1.0" encoding="utf-8"?>
<formControlPr xmlns="http://schemas.microsoft.com/office/spreadsheetml/2009/9/main" objectType="CheckBox" fmlaLink="AB23" lockText="1" noThreeD="1"/>
</file>

<file path=xl/ctrlProps/ctrlProp440.xml><?xml version="1.0" encoding="utf-8"?>
<formControlPr xmlns="http://schemas.microsoft.com/office/spreadsheetml/2009/9/main" objectType="CheckBox" fmlaLink="AB25" lockText="1" noThreeD="1"/>
</file>

<file path=xl/ctrlProps/ctrlProp441.xml><?xml version="1.0" encoding="utf-8"?>
<formControlPr xmlns="http://schemas.microsoft.com/office/spreadsheetml/2009/9/main" objectType="CheckBox" fmlaLink="AB28" lockText="1" noThreeD="1"/>
</file>

<file path=xl/ctrlProps/ctrlProp442.xml><?xml version="1.0" encoding="utf-8"?>
<formControlPr xmlns="http://schemas.microsoft.com/office/spreadsheetml/2009/9/main" objectType="CheckBox" fmlaLink="AB29" lockText="1" noThreeD="1"/>
</file>

<file path=xl/ctrlProps/ctrlProp443.xml><?xml version="1.0" encoding="utf-8"?>
<formControlPr xmlns="http://schemas.microsoft.com/office/spreadsheetml/2009/9/main" objectType="CheckBox" fmlaLink="AB30" lockText="1" noThreeD="1"/>
</file>

<file path=xl/ctrlProps/ctrlProp444.xml><?xml version="1.0" encoding="utf-8"?>
<formControlPr xmlns="http://schemas.microsoft.com/office/spreadsheetml/2009/9/main" objectType="CheckBox" fmlaLink="AB32" lockText="1" noThreeD="1"/>
</file>

<file path=xl/ctrlProps/ctrlProp445.xml><?xml version="1.0" encoding="utf-8"?>
<formControlPr xmlns="http://schemas.microsoft.com/office/spreadsheetml/2009/9/main" objectType="CheckBox" fmlaLink="AB33" lockText="1" noThreeD="1"/>
</file>

<file path=xl/ctrlProps/ctrlProp446.xml><?xml version="1.0" encoding="utf-8"?>
<formControlPr xmlns="http://schemas.microsoft.com/office/spreadsheetml/2009/9/main" objectType="CheckBox" fmlaLink="AB34" lockText="1" noThreeD="1"/>
</file>

<file path=xl/ctrlProps/ctrlProp447.xml><?xml version="1.0" encoding="utf-8"?>
<formControlPr xmlns="http://schemas.microsoft.com/office/spreadsheetml/2009/9/main" objectType="CheckBox" fmlaLink="AB35" lockText="1" noThreeD="1"/>
</file>

<file path=xl/ctrlProps/ctrlProp448.xml><?xml version="1.0" encoding="utf-8"?>
<formControlPr xmlns="http://schemas.microsoft.com/office/spreadsheetml/2009/9/main" objectType="CheckBox" fmlaLink="AB37" lockText="1" noThreeD="1"/>
</file>

<file path=xl/ctrlProps/ctrlProp449.xml><?xml version="1.0" encoding="utf-8"?>
<formControlPr xmlns="http://schemas.microsoft.com/office/spreadsheetml/2009/9/main" objectType="CheckBox" fmlaLink="AB40" lockText="1" noThreeD="1"/>
</file>

<file path=xl/ctrlProps/ctrlProp450.xml><?xml version="1.0" encoding="utf-8"?>
<formControlPr xmlns="http://schemas.microsoft.com/office/spreadsheetml/2009/9/main" objectType="CheckBox" fmlaLink="AB41" lockText="1" noThreeD="1"/>
</file>

<file path=xl/ctrlProps/ctrlProp451.xml><?xml version="1.0" encoding="utf-8"?>
<formControlPr xmlns="http://schemas.microsoft.com/office/spreadsheetml/2009/9/main" objectType="CheckBox" fmlaLink="AB42" lockText="1" noThreeD="1"/>
</file>

<file path=xl/ctrlProps/ctrlProp452.xml><?xml version="1.0" encoding="utf-8"?>
<formControlPr xmlns="http://schemas.microsoft.com/office/spreadsheetml/2009/9/main" objectType="CheckBox" fmlaLink="AB44" lockText="1" noThreeD="1"/>
</file>

<file path=xl/ctrlProps/ctrlProp453.xml><?xml version="1.0" encoding="utf-8"?>
<formControlPr xmlns="http://schemas.microsoft.com/office/spreadsheetml/2009/9/main" objectType="CheckBox" fmlaLink="AB45" lockText="1" noThreeD="1"/>
</file>

<file path=xl/ctrlProps/ctrlProp454.xml><?xml version="1.0" encoding="utf-8"?>
<formControlPr xmlns="http://schemas.microsoft.com/office/spreadsheetml/2009/9/main" objectType="CheckBox" fmlaLink="AB46" lockText="1" noThreeD="1"/>
</file>

<file path=xl/ctrlProps/ctrlProp455.xml><?xml version="1.0" encoding="utf-8"?>
<formControlPr xmlns="http://schemas.microsoft.com/office/spreadsheetml/2009/9/main" objectType="CheckBox" fmlaLink="AB47" lockText="1" noThreeD="1"/>
</file>

<file path=xl/ctrlProps/ctrlProp456.xml><?xml version="1.0" encoding="utf-8"?>
<formControlPr xmlns="http://schemas.microsoft.com/office/spreadsheetml/2009/9/main" objectType="CheckBox" fmlaLink="AB48" lockText="1" noThreeD="1"/>
</file>

<file path=xl/ctrlProps/ctrlProp457.xml><?xml version="1.0" encoding="utf-8"?>
<formControlPr xmlns="http://schemas.microsoft.com/office/spreadsheetml/2009/9/main" objectType="CheckBox" fmlaLink="AB49" lockText="1" noThreeD="1"/>
</file>

<file path=xl/ctrlProps/ctrlProp458.xml><?xml version="1.0" encoding="utf-8"?>
<formControlPr xmlns="http://schemas.microsoft.com/office/spreadsheetml/2009/9/main" objectType="CheckBox" fmlaLink="AB52" lockText="1" noThreeD="1"/>
</file>

<file path=xl/ctrlProps/ctrlProp459.xml><?xml version="1.0" encoding="utf-8"?>
<formControlPr xmlns="http://schemas.microsoft.com/office/spreadsheetml/2009/9/main" objectType="CheckBox" fmlaLink="AB53" lockText="1" noThreeD="1"/>
</file>

<file path=xl/ctrlProps/ctrlProp460.xml><?xml version="1.0" encoding="utf-8"?>
<formControlPr xmlns="http://schemas.microsoft.com/office/spreadsheetml/2009/9/main" objectType="CheckBox" fmlaLink="AB54" lockText="1" noThreeD="1"/>
</file>

<file path=xl/ctrlProps/ctrlProp461.xml><?xml version="1.0" encoding="utf-8"?>
<formControlPr xmlns="http://schemas.microsoft.com/office/spreadsheetml/2009/9/main" objectType="CheckBox" fmlaLink="AB56" lockText="1" noThreeD="1"/>
</file>

<file path=xl/ctrlProps/ctrlProp462.xml><?xml version="1.0" encoding="utf-8"?>
<formControlPr xmlns="http://schemas.microsoft.com/office/spreadsheetml/2009/9/main" objectType="CheckBox" fmlaLink="AB57" lockText="1" noThreeD="1"/>
</file>

<file path=xl/ctrlProps/ctrlProp463.xml><?xml version="1.0" encoding="utf-8"?>
<formControlPr xmlns="http://schemas.microsoft.com/office/spreadsheetml/2009/9/main" objectType="CheckBox" fmlaLink="AB58" lockText="1" noThreeD="1"/>
</file>

<file path=xl/ctrlProps/ctrlProp464.xml><?xml version="1.0" encoding="utf-8"?>
<formControlPr xmlns="http://schemas.microsoft.com/office/spreadsheetml/2009/9/main" objectType="CheckBox" fmlaLink="AB59" lockText="1" noThreeD="1"/>
</file>

<file path=xl/ctrlProps/ctrlProp465.xml><?xml version="1.0" encoding="utf-8"?>
<formControlPr xmlns="http://schemas.microsoft.com/office/spreadsheetml/2009/9/main" objectType="CheckBox" fmlaLink="AB60" lockText="1" noThreeD="1"/>
</file>

<file path=xl/ctrlProps/ctrlProp466.xml><?xml version="1.0" encoding="utf-8"?>
<formControlPr xmlns="http://schemas.microsoft.com/office/spreadsheetml/2009/9/main" objectType="CheckBox" fmlaLink="AB61" lockText="1" noThreeD="1"/>
</file>

<file path=xl/ctrlProps/ctrlProp467.xml><?xml version="1.0" encoding="utf-8"?>
<formControlPr xmlns="http://schemas.microsoft.com/office/spreadsheetml/2009/9/main" objectType="CheckBox" fmlaLink="AA19" lockText="1" noThreeD="1"/>
</file>

<file path=xl/ctrlProps/ctrlProp468.xml><?xml version="1.0" encoding="utf-8"?>
<formControlPr xmlns="http://schemas.microsoft.com/office/spreadsheetml/2009/9/main" objectType="CheckBox" fmlaLink="AB19" lockText="1" noThreeD="1"/>
</file>

<file path=xl/ctrlProps/ctrlProp469.xml><?xml version="1.0" encoding="utf-8"?>
<formControlPr xmlns="http://schemas.microsoft.com/office/spreadsheetml/2009/9/main" objectType="CheckBox" fmlaLink="AA18" lockText="1" noThreeD="1"/>
</file>

<file path=xl/ctrlProps/ctrlProp470.xml><?xml version="1.0" encoding="utf-8"?>
<formControlPr xmlns="http://schemas.microsoft.com/office/spreadsheetml/2009/9/main" objectType="CheckBox" fmlaLink="AB18" lockText="1" noThreeD="1"/>
</file>

<file path=xl/ctrlProps/ctrlProp471.xml><?xml version="1.0" encoding="utf-8"?>
<formControlPr xmlns="http://schemas.microsoft.com/office/spreadsheetml/2009/9/main" objectType="CheckBox" fmlaLink="AA24" lockText="1" noThreeD="1"/>
</file>

<file path=xl/ctrlProps/ctrlProp472.xml><?xml version="1.0" encoding="utf-8"?>
<formControlPr xmlns="http://schemas.microsoft.com/office/spreadsheetml/2009/9/main" objectType="CheckBox" fmlaLink="AB24" lockText="1" noThreeD="1"/>
</file>

<file path=xl/ctrlProps/ctrlProp473.xml><?xml version="1.0" encoding="utf-8"?>
<formControlPr xmlns="http://schemas.microsoft.com/office/spreadsheetml/2009/9/main" objectType="CheckBox" fmlaLink="AA31" lockText="1" noThreeD="1"/>
</file>

<file path=xl/ctrlProps/ctrlProp474.xml><?xml version="1.0" encoding="utf-8"?>
<formControlPr xmlns="http://schemas.microsoft.com/office/spreadsheetml/2009/9/main" objectType="CheckBox" fmlaLink="AB31" lockText="1" noThreeD="1"/>
</file>

<file path=xl/ctrlProps/ctrlProp475.xml><?xml version="1.0" encoding="utf-8"?>
<formControlPr xmlns="http://schemas.microsoft.com/office/spreadsheetml/2009/9/main" objectType="CheckBox" fmlaLink="AA36" lockText="1" noThreeD="1"/>
</file>

<file path=xl/ctrlProps/ctrlProp476.xml><?xml version="1.0" encoding="utf-8"?>
<formControlPr xmlns="http://schemas.microsoft.com/office/spreadsheetml/2009/9/main" objectType="CheckBox" fmlaLink="AB36" lockText="1" noThreeD="1"/>
</file>

<file path=xl/ctrlProps/ctrlProp477.xml><?xml version="1.0" encoding="utf-8"?>
<formControlPr xmlns="http://schemas.microsoft.com/office/spreadsheetml/2009/9/main" objectType="CheckBox" fmlaLink="AA43" lockText="1" noThreeD="1"/>
</file>

<file path=xl/ctrlProps/ctrlProp478.xml><?xml version="1.0" encoding="utf-8"?>
<formControlPr xmlns="http://schemas.microsoft.com/office/spreadsheetml/2009/9/main" objectType="CheckBox" fmlaLink="AB43" lockText="1" noThreeD="1"/>
</file>

<file path=xl/ctrlProps/ctrlProp479.xml><?xml version="1.0" encoding="utf-8"?>
<formControlPr xmlns="http://schemas.microsoft.com/office/spreadsheetml/2009/9/main" objectType="CheckBox" fmlaLink="AA55" lockText="1" noThreeD="1"/>
</file>

<file path=xl/ctrlProps/ctrlProp480.xml><?xml version="1.0" encoding="utf-8"?>
<formControlPr xmlns="http://schemas.microsoft.com/office/spreadsheetml/2009/9/main" objectType="CheckBox" fmlaLink="AB55" lockText="1" noThreeD="1"/>
</file>

<file path=xl/ctrlProps/ctrlProp481.xml><?xml version="1.0" encoding="utf-8"?>
<formControlPr xmlns="http://schemas.microsoft.com/office/spreadsheetml/2009/9/main" objectType="CheckBox" fmlaLink="AA64" lockText="1" noThreeD="1"/>
</file>

<file path=xl/ctrlProps/ctrlProp482.xml><?xml version="1.0" encoding="utf-8"?>
<formControlPr xmlns="http://schemas.microsoft.com/office/spreadsheetml/2009/9/main" objectType="CheckBox" fmlaLink="AA65" lockText="1" noThreeD="1"/>
</file>

<file path=xl/ctrlProps/ctrlProp483.xml><?xml version="1.0" encoding="utf-8"?>
<formControlPr xmlns="http://schemas.microsoft.com/office/spreadsheetml/2009/9/main" objectType="CheckBox" fmlaLink="AA66" lockText="1" noThreeD="1"/>
</file>

<file path=xl/ctrlProps/ctrlProp484.xml><?xml version="1.0" encoding="utf-8"?>
<formControlPr xmlns="http://schemas.microsoft.com/office/spreadsheetml/2009/9/main" objectType="CheckBox" fmlaLink="AA68" lockText="1" noThreeD="1"/>
</file>

<file path=xl/ctrlProps/ctrlProp485.xml><?xml version="1.0" encoding="utf-8"?>
<formControlPr xmlns="http://schemas.microsoft.com/office/spreadsheetml/2009/9/main" objectType="CheckBox" fmlaLink="AA69" lockText="1" noThreeD="1"/>
</file>

<file path=xl/ctrlProps/ctrlProp486.xml><?xml version="1.0" encoding="utf-8"?>
<formControlPr xmlns="http://schemas.microsoft.com/office/spreadsheetml/2009/9/main" objectType="CheckBox" fmlaLink="AA70" lockText="1" noThreeD="1"/>
</file>

<file path=xl/ctrlProps/ctrlProp487.xml><?xml version="1.0" encoding="utf-8"?>
<formControlPr xmlns="http://schemas.microsoft.com/office/spreadsheetml/2009/9/main" objectType="CheckBox" fmlaLink="AA71" lockText="1" noThreeD="1"/>
</file>

<file path=xl/ctrlProps/ctrlProp488.xml><?xml version="1.0" encoding="utf-8"?>
<formControlPr xmlns="http://schemas.microsoft.com/office/spreadsheetml/2009/9/main" objectType="CheckBox" fmlaLink="AA72" lockText="1" noThreeD="1"/>
</file>

<file path=xl/ctrlProps/ctrlProp489.xml><?xml version="1.0" encoding="utf-8"?>
<formControlPr xmlns="http://schemas.microsoft.com/office/spreadsheetml/2009/9/main" objectType="CheckBox" fmlaLink="AA73" lockText="1" noThreeD="1"/>
</file>

<file path=xl/ctrlProps/ctrlProp490.xml><?xml version="1.0" encoding="utf-8"?>
<formControlPr xmlns="http://schemas.microsoft.com/office/spreadsheetml/2009/9/main" objectType="CheckBox" fmlaLink="AB64" lockText="1" noThreeD="1"/>
</file>

<file path=xl/ctrlProps/ctrlProp491.xml><?xml version="1.0" encoding="utf-8"?>
<formControlPr xmlns="http://schemas.microsoft.com/office/spreadsheetml/2009/9/main" objectType="CheckBox" fmlaLink="AB65" lockText="1" noThreeD="1"/>
</file>

<file path=xl/ctrlProps/ctrlProp492.xml><?xml version="1.0" encoding="utf-8"?>
<formControlPr xmlns="http://schemas.microsoft.com/office/spreadsheetml/2009/9/main" objectType="CheckBox" fmlaLink="AB66" lockText="1" noThreeD="1"/>
</file>

<file path=xl/ctrlProps/ctrlProp493.xml><?xml version="1.0" encoding="utf-8"?>
<formControlPr xmlns="http://schemas.microsoft.com/office/spreadsheetml/2009/9/main" objectType="CheckBox" fmlaLink="AB68" lockText="1" noThreeD="1"/>
</file>

<file path=xl/ctrlProps/ctrlProp494.xml><?xml version="1.0" encoding="utf-8"?>
<formControlPr xmlns="http://schemas.microsoft.com/office/spreadsheetml/2009/9/main" objectType="CheckBox" fmlaLink="AB69" lockText="1" noThreeD="1"/>
</file>

<file path=xl/ctrlProps/ctrlProp495.xml><?xml version="1.0" encoding="utf-8"?>
<formControlPr xmlns="http://schemas.microsoft.com/office/spreadsheetml/2009/9/main" objectType="CheckBox" fmlaLink="AB70" lockText="1" noThreeD="1"/>
</file>

<file path=xl/ctrlProps/ctrlProp496.xml><?xml version="1.0" encoding="utf-8"?>
<formControlPr xmlns="http://schemas.microsoft.com/office/spreadsheetml/2009/9/main" objectType="CheckBox" fmlaLink="AB71" lockText="1" noThreeD="1"/>
</file>

<file path=xl/ctrlProps/ctrlProp497.xml><?xml version="1.0" encoding="utf-8"?>
<formControlPr xmlns="http://schemas.microsoft.com/office/spreadsheetml/2009/9/main" objectType="CheckBox" fmlaLink="AB72" lockText="1" noThreeD="1"/>
</file>

<file path=xl/ctrlProps/ctrlProp498.xml><?xml version="1.0" encoding="utf-8"?>
<formControlPr xmlns="http://schemas.microsoft.com/office/spreadsheetml/2009/9/main" objectType="CheckBox" fmlaLink="AB73" lockText="1" noThreeD="1"/>
</file>

<file path=xl/ctrlProps/ctrlProp499.xml><?xml version="1.0" encoding="utf-8"?>
<formControlPr xmlns="http://schemas.microsoft.com/office/spreadsheetml/2009/9/main" objectType="CheckBox" fmlaLink="AA67" lockText="1" noThreeD="1"/>
</file>

<file path=xl/ctrlProps/ctrlProp500.xml><?xml version="1.0" encoding="utf-8"?>
<formControlPr xmlns="http://schemas.microsoft.com/office/spreadsheetml/2009/9/main" objectType="CheckBox" fmlaLink="AB67" lockText="1" noThreeD="1"/>
</file>

<file path=xl/ctrlProps/ctrlProp501.xml><?xml version="1.0" encoding="utf-8"?>
<formControlPr xmlns="http://schemas.microsoft.com/office/spreadsheetml/2009/9/main" objectType="CheckBox" fmlaLink="AA16" lockText="1" noThreeD="1"/>
</file>

<file path=xl/ctrlProps/ctrlProp502.xml><?xml version="1.0" encoding="utf-8"?>
<formControlPr xmlns="http://schemas.microsoft.com/office/spreadsheetml/2009/9/main" objectType="CheckBox" fmlaLink="AA17" lockText="1" noThreeD="1"/>
</file>

<file path=xl/ctrlProps/ctrlProp503.xml><?xml version="1.0" encoding="utf-8"?>
<formControlPr xmlns="http://schemas.microsoft.com/office/spreadsheetml/2009/9/main" objectType="CheckBox" fmlaLink="AA20" lockText="1" noThreeD="1"/>
</file>

<file path=xl/ctrlProps/ctrlProp504.xml><?xml version="1.0" encoding="utf-8"?>
<formControlPr xmlns="http://schemas.microsoft.com/office/spreadsheetml/2009/9/main" objectType="CheckBox" fmlaLink="AA21" lockText="1" noThreeD="1"/>
</file>

<file path=xl/ctrlProps/ctrlProp505.xml><?xml version="1.0" encoding="utf-8"?>
<formControlPr xmlns="http://schemas.microsoft.com/office/spreadsheetml/2009/9/main" objectType="CheckBox" fmlaLink="AA22" lockText="1" noThreeD="1"/>
</file>

<file path=xl/ctrlProps/ctrlProp506.xml><?xml version="1.0" encoding="utf-8"?>
<formControlPr xmlns="http://schemas.microsoft.com/office/spreadsheetml/2009/9/main" objectType="CheckBox" fmlaLink="AA23" lockText="1" noThreeD="1"/>
</file>

<file path=xl/ctrlProps/ctrlProp507.xml><?xml version="1.0" encoding="utf-8"?>
<formControlPr xmlns="http://schemas.microsoft.com/office/spreadsheetml/2009/9/main" objectType="CheckBox" fmlaLink="AA25" lockText="1" noThreeD="1"/>
</file>

<file path=xl/ctrlProps/ctrlProp508.xml><?xml version="1.0" encoding="utf-8"?>
<formControlPr xmlns="http://schemas.microsoft.com/office/spreadsheetml/2009/9/main" objectType="CheckBox" fmlaLink="AA28" lockText="1" noThreeD="1"/>
</file>

<file path=xl/ctrlProps/ctrlProp509.xml><?xml version="1.0" encoding="utf-8"?>
<formControlPr xmlns="http://schemas.microsoft.com/office/spreadsheetml/2009/9/main" objectType="CheckBox" fmlaLink="AA29" lockText="1" noThreeD="1"/>
</file>

<file path=xl/ctrlProps/ctrlProp510.xml><?xml version="1.0" encoding="utf-8"?>
<formControlPr xmlns="http://schemas.microsoft.com/office/spreadsheetml/2009/9/main" objectType="CheckBox" fmlaLink="AA30" lockText="1" noThreeD="1"/>
</file>

<file path=xl/ctrlProps/ctrlProp511.xml><?xml version="1.0" encoding="utf-8"?>
<formControlPr xmlns="http://schemas.microsoft.com/office/spreadsheetml/2009/9/main" objectType="CheckBox" fmlaLink="AA32" lockText="1" noThreeD="1"/>
</file>

<file path=xl/ctrlProps/ctrlProp512.xml><?xml version="1.0" encoding="utf-8"?>
<formControlPr xmlns="http://schemas.microsoft.com/office/spreadsheetml/2009/9/main" objectType="CheckBox" fmlaLink="AA33" lockText="1" noThreeD="1"/>
</file>

<file path=xl/ctrlProps/ctrlProp513.xml><?xml version="1.0" encoding="utf-8"?>
<formControlPr xmlns="http://schemas.microsoft.com/office/spreadsheetml/2009/9/main" objectType="CheckBox" fmlaLink="AA34" lockText="1" noThreeD="1"/>
</file>

<file path=xl/ctrlProps/ctrlProp514.xml><?xml version="1.0" encoding="utf-8"?>
<formControlPr xmlns="http://schemas.microsoft.com/office/spreadsheetml/2009/9/main" objectType="CheckBox" fmlaLink="AA35" lockText="1" noThreeD="1"/>
</file>

<file path=xl/ctrlProps/ctrlProp515.xml><?xml version="1.0" encoding="utf-8"?>
<formControlPr xmlns="http://schemas.microsoft.com/office/spreadsheetml/2009/9/main" objectType="CheckBox" fmlaLink="AA37" lockText="1" noThreeD="1"/>
</file>

<file path=xl/ctrlProps/ctrlProp516.xml><?xml version="1.0" encoding="utf-8"?>
<formControlPr xmlns="http://schemas.microsoft.com/office/spreadsheetml/2009/9/main" objectType="CheckBox" fmlaLink="AA40" lockText="1" noThreeD="1"/>
</file>

<file path=xl/ctrlProps/ctrlProp517.xml><?xml version="1.0" encoding="utf-8"?>
<formControlPr xmlns="http://schemas.microsoft.com/office/spreadsheetml/2009/9/main" objectType="CheckBox" fmlaLink="AA41" lockText="1" noThreeD="1"/>
</file>

<file path=xl/ctrlProps/ctrlProp518.xml><?xml version="1.0" encoding="utf-8"?>
<formControlPr xmlns="http://schemas.microsoft.com/office/spreadsheetml/2009/9/main" objectType="CheckBox" fmlaLink="AA42" lockText="1" noThreeD="1"/>
</file>

<file path=xl/ctrlProps/ctrlProp519.xml><?xml version="1.0" encoding="utf-8"?>
<formControlPr xmlns="http://schemas.microsoft.com/office/spreadsheetml/2009/9/main" objectType="CheckBox" fmlaLink="AA44" lockText="1" noThreeD="1"/>
</file>

<file path=xl/ctrlProps/ctrlProp520.xml><?xml version="1.0" encoding="utf-8"?>
<formControlPr xmlns="http://schemas.microsoft.com/office/spreadsheetml/2009/9/main" objectType="CheckBox" fmlaLink="AA45" lockText="1" noThreeD="1"/>
</file>

<file path=xl/ctrlProps/ctrlProp521.xml><?xml version="1.0" encoding="utf-8"?>
<formControlPr xmlns="http://schemas.microsoft.com/office/spreadsheetml/2009/9/main" objectType="CheckBox" fmlaLink="AA46" lockText="1" noThreeD="1"/>
</file>

<file path=xl/ctrlProps/ctrlProp522.xml><?xml version="1.0" encoding="utf-8"?>
<formControlPr xmlns="http://schemas.microsoft.com/office/spreadsheetml/2009/9/main" objectType="CheckBox" fmlaLink="AA47" lockText="1" noThreeD="1"/>
</file>

<file path=xl/ctrlProps/ctrlProp523.xml><?xml version="1.0" encoding="utf-8"?>
<formControlPr xmlns="http://schemas.microsoft.com/office/spreadsheetml/2009/9/main" objectType="CheckBox" fmlaLink="AA48" lockText="1" noThreeD="1"/>
</file>

<file path=xl/ctrlProps/ctrlProp524.xml><?xml version="1.0" encoding="utf-8"?>
<formControlPr xmlns="http://schemas.microsoft.com/office/spreadsheetml/2009/9/main" objectType="CheckBox" fmlaLink="AA49" lockText="1" noThreeD="1"/>
</file>

<file path=xl/ctrlProps/ctrlProp525.xml><?xml version="1.0" encoding="utf-8"?>
<formControlPr xmlns="http://schemas.microsoft.com/office/spreadsheetml/2009/9/main" objectType="CheckBox" fmlaLink="AA52" lockText="1" noThreeD="1"/>
</file>

<file path=xl/ctrlProps/ctrlProp526.xml><?xml version="1.0" encoding="utf-8"?>
<formControlPr xmlns="http://schemas.microsoft.com/office/spreadsheetml/2009/9/main" objectType="CheckBox" fmlaLink="AA53" lockText="1" noThreeD="1"/>
</file>

<file path=xl/ctrlProps/ctrlProp527.xml><?xml version="1.0" encoding="utf-8"?>
<formControlPr xmlns="http://schemas.microsoft.com/office/spreadsheetml/2009/9/main" objectType="CheckBox" fmlaLink="AA54" lockText="1" noThreeD="1"/>
</file>

<file path=xl/ctrlProps/ctrlProp528.xml><?xml version="1.0" encoding="utf-8"?>
<formControlPr xmlns="http://schemas.microsoft.com/office/spreadsheetml/2009/9/main" objectType="CheckBox" fmlaLink="AA56" lockText="1" noThreeD="1"/>
</file>

<file path=xl/ctrlProps/ctrlProp529.xml><?xml version="1.0" encoding="utf-8"?>
<formControlPr xmlns="http://schemas.microsoft.com/office/spreadsheetml/2009/9/main" objectType="CheckBox" fmlaLink="AA57" lockText="1" noThreeD="1"/>
</file>

<file path=xl/ctrlProps/ctrlProp530.xml><?xml version="1.0" encoding="utf-8"?>
<formControlPr xmlns="http://schemas.microsoft.com/office/spreadsheetml/2009/9/main" objectType="CheckBox" fmlaLink="AA58" lockText="1" noThreeD="1"/>
</file>

<file path=xl/ctrlProps/ctrlProp531.xml><?xml version="1.0" encoding="utf-8"?>
<formControlPr xmlns="http://schemas.microsoft.com/office/spreadsheetml/2009/9/main" objectType="CheckBox" fmlaLink="AA59" lockText="1" noThreeD="1"/>
</file>

<file path=xl/ctrlProps/ctrlProp532.xml><?xml version="1.0" encoding="utf-8"?>
<formControlPr xmlns="http://schemas.microsoft.com/office/spreadsheetml/2009/9/main" objectType="CheckBox" fmlaLink="AA60" lockText="1" noThreeD="1"/>
</file>

<file path=xl/ctrlProps/ctrlProp533.xml><?xml version="1.0" encoding="utf-8"?>
<formControlPr xmlns="http://schemas.microsoft.com/office/spreadsheetml/2009/9/main" objectType="CheckBox" fmlaLink="AA61" lockText="1" noThreeD="1"/>
</file>

<file path=xl/ctrlProps/ctrlProp534.xml><?xml version="1.0" encoding="utf-8"?>
<formControlPr xmlns="http://schemas.microsoft.com/office/spreadsheetml/2009/9/main" objectType="CheckBox" fmlaLink="AB16" lockText="1" noThreeD="1"/>
</file>

<file path=xl/ctrlProps/ctrlProp535.xml><?xml version="1.0" encoding="utf-8"?>
<formControlPr xmlns="http://schemas.microsoft.com/office/spreadsheetml/2009/9/main" objectType="CheckBox" fmlaLink="AB17" lockText="1" noThreeD="1"/>
</file>

<file path=xl/ctrlProps/ctrlProp536.xml><?xml version="1.0" encoding="utf-8"?>
<formControlPr xmlns="http://schemas.microsoft.com/office/spreadsheetml/2009/9/main" objectType="CheckBox" fmlaLink="AB20" lockText="1" noThreeD="1"/>
</file>

<file path=xl/ctrlProps/ctrlProp537.xml><?xml version="1.0" encoding="utf-8"?>
<formControlPr xmlns="http://schemas.microsoft.com/office/spreadsheetml/2009/9/main" objectType="CheckBox" fmlaLink="AB21" lockText="1" noThreeD="1"/>
</file>

<file path=xl/ctrlProps/ctrlProp538.xml><?xml version="1.0" encoding="utf-8"?>
<formControlPr xmlns="http://schemas.microsoft.com/office/spreadsheetml/2009/9/main" objectType="CheckBox" fmlaLink="AB22" lockText="1" noThreeD="1"/>
</file>

<file path=xl/ctrlProps/ctrlProp539.xml><?xml version="1.0" encoding="utf-8"?>
<formControlPr xmlns="http://schemas.microsoft.com/office/spreadsheetml/2009/9/main" objectType="CheckBox" fmlaLink="AB23" lockText="1" noThreeD="1"/>
</file>

<file path=xl/ctrlProps/ctrlProp540.xml><?xml version="1.0" encoding="utf-8"?>
<formControlPr xmlns="http://schemas.microsoft.com/office/spreadsheetml/2009/9/main" objectType="CheckBox" fmlaLink="AB25" lockText="1" noThreeD="1"/>
</file>

<file path=xl/ctrlProps/ctrlProp541.xml><?xml version="1.0" encoding="utf-8"?>
<formControlPr xmlns="http://schemas.microsoft.com/office/spreadsheetml/2009/9/main" objectType="CheckBox" fmlaLink="AB28" lockText="1" noThreeD="1"/>
</file>

<file path=xl/ctrlProps/ctrlProp542.xml><?xml version="1.0" encoding="utf-8"?>
<formControlPr xmlns="http://schemas.microsoft.com/office/spreadsheetml/2009/9/main" objectType="CheckBox" fmlaLink="AB29" lockText="1" noThreeD="1"/>
</file>

<file path=xl/ctrlProps/ctrlProp543.xml><?xml version="1.0" encoding="utf-8"?>
<formControlPr xmlns="http://schemas.microsoft.com/office/spreadsheetml/2009/9/main" objectType="CheckBox" fmlaLink="AB30" lockText="1" noThreeD="1"/>
</file>

<file path=xl/ctrlProps/ctrlProp544.xml><?xml version="1.0" encoding="utf-8"?>
<formControlPr xmlns="http://schemas.microsoft.com/office/spreadsheetml/2009/9/main" objectType="CheckBox" fmlaLink="AB32" lockText="1" noThreeD="1"/>
</file>

<file path=xl/ctrlProps/ctrlProp545.xml><?xml version="1.0" encoding="utf-8"?>
<formControlPr xmlns="http://schemas.microsoft.com/office/spreadsheetml/2009/9/main" objectType="CheckBox" fmlaLink="AB33" lockText="1" noThreeD="1"/>
</file>

<file path=xl/ctrlProps/ctrlProp546.xml><?xml version="1.0" encoding="utf-8"?>
<formControlPr xmlns="http://schemas.microsoft.com/office/spreadsheetml/2009/9/main" objectType="CheckBox" fmlaLink="AB34" lockText="1" noThreeD="1"/>
</file>

<file path=xl/ctrlProps/ctrlProp547.xml><?xml version="1.0" encoding="utf-8"?>
<formControlPr xmlns="http://schemas.microsoft.com/office/spreadsheetml/2009/9/main" objectType="CheckBox" fmlaLink="AB35" lockText="1" noThreeD="1"/>
</file>

<file path=xl/ctrlProps/ctrlProp548.xml><?xml version="1.0" encoding="utf-8"?>
<formControlPr xmlns="http://schemas.microsoft.com/office/spreadsheetml/2009/9/main" objectType="CheckBox" fmlaLink="AB37" lockText="1" noThreeD="1"/>
</file>

<file path=xl/ctrlProps/ctrlProp549.xml><?xml version="1.0" encoding="utf-8"?>
<formControlPr xmlns="http://schemas.microsoft.com/office/spreadsheetml/2009/9/main" objectType="CheckBox" fmlaLink="AB40" lockText="1" noThreeD="1"/>
</file>

<file path=xl/ctrlProps/ctrlProp550.xml><?xml version="1.0" encoding="utf-8"?>
<formControlPr xmlns="http://schemas.microsoft.com/office/spreadsheetml/2009/9/main" objectType="CheckBox" fmlaLink="AB41" lockText="1" noThreeD="1"/>
</file>

<file path=xl/ctrlProps/ctrlProp551.xml><?xml version="1.0" encoding="utf-8"?>
<formControlPr xmlns="http://schemas.microsoft.com/office/spreadsheetml/2009/9/main" objectType="CheckBox" fmlaLink="AB42" lockText="1" noThreeD="1"/>
</file>

<file path=xl/ctrlProps/ctrlProp552.xml><?xml version="1.0" encoding="utf-8"?>
<formControlPr xmlns="http://schemas.microsoft.com/office/spreadsheetml/2009/9/main" objectType="CheckBox" fmlaLink="AB44" lockText="1" noThreeD="1"/>
</file>

<file path=xl/ctrlProps/ctrlProp553.xml><?xml version="1.0" encoding="utf-8"?>
<formControlPr xmlns="http://schemas.microsoft.com/office/spreadsheetml/2009/9/main" objectType="CheckBox" fmlaLink="AB45" lockText="1" noThreeD="1"/>
</file>

<file path=xl/ctrlProps/ctrlProp554.xml><?xml version="1.0" encoding="utf-8"?>
<formControlPr xmlns="http://schemas.microsoft.com/office/spreadsheetml/2009/9/main" objectType="CheckBox" fmlaLink="AB46" lockText="1" noThreeD="1"/>
</file>

<file path=xl/ctrlProps/ctrlProp555.xml><?xml version="1.0" encoding="utf-8"?>
<formControlPr xmlns="http://schemas.microsoft.com/office/spreadsheetml/2009/9/main" objectType="CheckBox" fmlaLink="AB47" lockText="1" noThreeD="1"/>
</file>

<file path=xl/ctrlProps/ctrlProp556.xml><?xml version="1.0" encoding="utf-8"?>
<formControlPr xmlns="http://schemas.microsoft.com/office/spreadsheetml/2009/9/main" objectType="CheckBox" fmlaLink="AB48" lockText="1" noThreeD="1"/>
</file>

<file path=xl/ctrlProps/ctrlProp557.xml><?xml version="1.0" encoding="utf-8"?>
<formControlPr xmlns="http://schemas.microsoft.com/office/spreadsheetml/2009/9/main" objectType="CheckBox" fmlaLink="AB49" lockText="1" noThreeD="1"/>
</file>

<file path=xl/ctrlProps/ctrlProp558.xml><?xml version="1.0" encoding="utf-8"?>
<formControlPr xmlns="http://schemas.microsoft.com/office/spreadsheetml/2009/9/main" objectType="CheckBox" fmlaLink="AB52" lockText="1" noThreeD="1"/>
</file>

<file path=xl/ctrlProps/ctrlProp559.xml><?xml version="1.0" encoding="utf-8"?>
<formControlPr xmlns="http://schemas.microsoft.com/office/spreadsheetml/2009/9/main" objectType="CheckBox" fmlaLink="AB53" lockText="1" noThreeD="1"/>
</file>

<file path=xl/ctrlProps/ctrlProp560.xml><?xml version="1.0" encoding="utf-8"?>
<formControlPr xmlns="http://schemas.microsoft.com/office/spreadsheetml/2009/9/main" objectType="CheckBox" fmlaLink="AB54" lockText="1" noThreeD="1"/>
</file>

<file path=xl/ctrlProps/ctrlProp561.xml><?xml version="1.0" encoding="utf-8"?>
<formControlPr xmlns="http://schemas.microsoft.com/office/spreadsheetml/2009/9/main" objectType="CheckBox" fmlaLink="AB56" lockText="1" noThreeD="1"/>
</file>

<file path=xl/ctrlProps/ctrlProp562.xml><?xml version="1.0" encoding="utf-8"?>
<formControlPr xmlns="http://schemas.microsoft.com/office/spreadsheetml/2009/9/main" objectType="CheckBox" fmlaLink="AB57" lockText="1" noThreeD="1"/>
</file>

<file path=xl/ctrlProps/ctrlProp563.xml><?xml version="1.0" encoding="utf-8"?>
<formControlPr xmlns="http://schemas.microsoft.com/office/spreadsheetml/2009/9/main" objectType="CheckBox" fmlaLink="AB58" lockText="1" noThreeD="1"/>
</file>

<file path=xl/ctrlProps/ctrlProp564.xml><?xml version="1.0" encoding="utf-8"?>
<formControlPr xmlns="http://schemas.microsoft.com/office/spreadsheetml/2009/9/main" objectType="CheckBox" fmlaLink="AB59" lockText="1" noThreeD="1"/>
</file>

<file path=xl/ctrlProps/ctrlProp565.xml><?xml version="1.0" encoding="utf-8"?>
<formControlPr xmlns="http://schemas.microsoft.com/office/spreadsheetml/2009/9/main" objectType="CheckBox" fmlaLink="AB60" lockText="1" noThreeD="1"/>
</file>

<file path=xl/ctrlProps/ctrlProp566.xml><?xml version="1.0" encoding="utf-8"?>
<formControlPr xmlns="http://schemas.microsoft.com/office/spreadsheetml/2009/9/main" objectType="CheckBox" fmlaLink="AB61" lockText="1" noThreeD="1"/>
</file>

<file path=xl/ctrlProps/ctrlProp567.xml><?xml version="1.0" encoding="utf-8"?>
<formControlPr xmlns="http://schemas.microsoft.com/office/spreadsheetml/2009/9/main" objectType="CheckBox" fmlaLink="AA19" lockText="1" noThreeD="1"/>
</file>

<file path=xl/ctrlProps/ctrlProp568.xml><?xml version="1.0" encoding="utf-8"?>
<formControlPr xmlns="http://schemas.microsoft.com/office/spreadsheetml/2009/9/main" objectType="CheckBox" fmlaLink="AB19" lockText="1" noThreeD="1"/>
</file>

<file path=xl/ctrlProps/ctrlProp569.xml><?xml version="1.0" encoding="utf-8"?>
<formControlPr xmlns="http://schemas.microsoft.com/office/spreadsheetml/2009/9/main" objectType="CheckBox" fmlaLink="AA18" lockText="1" noThreeD="1"/>
</file>

<file path=xl/ctrlProps/ctrlProp570.xml><?xml version="1.0" encoding="utf-8"?>
<formControlPr xmlns="http://schemas.microsoft.com/office/spreadsheetml/2009/9/main" objectType="CheckBox" fmlaLink="AB18" lockText="1" noThreeD="1"/>
</file>

<file path=xl/ctrlProps/ctrlProp571.xml><?xml version="1.0" encoding="utf-8"?>
<formControlPr xmlns="http://schemas.microsoft.com/office/spreadsheetml/2009/9/main" objectType="CheckBox" fmlaLink="AA24" lockText="1" noThreeD="1"/>
</file>

<file path=xl/ctrlProps/ctrlProp572.xml><?xml version="1.0" encoding="utf-8"?>
<formControlPr xmlns="http://schemas.microsoft.com/office/spreadsheetml/2009/9/main" objectType="CheckBox" fmlaLink="AB24" lockText="1" noThreeD="1"/>
</file>

<file path=xl/ctrlProps/ctrlProp573.xml><?xml version="1.0" encoding="utf-8"?>
<formControlPr xmlns="http://schemas.microsoft.com/office/spreadsheetml/2009/9/main" objectType="CheckBox" fmlaLink="AA31" lockText="1" noThreeD="1"/>
</file>

<file path=xl/ctrlProps/ctrlProp574.xml><?xml version="1.0" encoding="utf-8"?>
<formControlPr xmlns="http://schemas.microsoft.com/office/spreadsheetml/2009/9/main" objectType="CheckBox" fmlaLink="AB31" lockText="1" noThreeD="1"/>
</file>

<file path=xl/ctrlProps/ctrlProp575.xml><?xml version="1.0" encoding="utf-8"?>
<formControlPr xmlns="http://schemas.microsoft.com/office/spreadsheetml/2009/9/main" objectType="CheckBox" fmlaLink="AA36" lockText="1" noThreeD="1"/>
</file>

<file path=xl/ctrlProps/ctrlProp576.xml><?xml version="1.0" encoding="utf-8"?>
<formControlPr xmlns="http://schemas.microsoft.com/office/spreadsheetml/2009/9/main" objectType="CheckBox" fmlaLink="AB36" lockText="1" noThreeD="1"/>
</file>

<file path=xl/ctrlProps/ctrlProp577.xml><?xml version="1.0" encoding="utf-8"?>
<formControlPr xmlns="http://schemas.microsoft.com/office/spreadsheetml/2009/9/main" objectType="CheckBox" fmlaLink="AA43" lockText="1" noThreeD="1"/>
</file>

<file path=xl/ctrlProps/ctrlProp578.xml><?xml version="1.0" encoding="utf-8"?>
<formControlPr xmlns="http://schemas.microsoft.com/office/spreadsheetml/2009/9/main" objectType="CheckBox" fmlaLink="AB43" lockText="1" noThreeD="1"/>
</file>

<file path=xl/ctrlProps/ctrlProp579.xml><?xml version="1.0" encoding="utf-8"?>
<formControlPr xmlns="http://schemas.microsoft.com/office/spreadsheetml/2009/9/main" objectType="CheckBox" fmlaLink="AA55" lockText="1" noThreeD="1"/>
</file>

<file path=xl/ctrlProps/ctrlProp580.xml><?xml version="1.0" encoding="utf-8"?>
<formControlPr xmlns="http://schemas.microsoft.com/office/spreadsheetml/2009/9/main" objectType="CheckBox" fmlaLink="AB55" lockText="1" noThreeD="1"/>
</file>

<file path=xl/ctrlProps/ctrlProp581.xml><?xml version="1.0" encoding="utf-8"?>
<formControlPr xmlns="http://schemas.microsoft.com/office/spreadsheetml/2009/9/main" objectType="CheckBox" fmlaLink="AA64" lockText="1" noThreeD="1"/>
</file>

<file path=xl/ctrlProps/ctrlProp582.xml><?xml version="1.0" encoding="utf-8"?>
<formControlPr xmlns="http://schemas.microsoft.com/office/spreadsheetml/2009/9/main" objectType="CheckBox" fmlaLink="AA65" lockText="1" noThreeD="1"/>
</file>

<file path=xl/ctrlProps/ctrlProp583.xml><?xml version="1.0" encoding="utf-8"?>
<formControlPr xmlns="http://schemas.microsoft.com/office/spreadsheetml/2009/9/main" objectType="CheckBox" fmlaLink="AA66" lockText="1" noThreeD="1"/>
</file>

<file path=xl/ctrlProps/ctrlProp584.xml><?xml version="1.0" encoding="utf-8"?>
<formControlPr xmlns="http://schemas.microsoft.com/office/spreadsheetml/2009/9/main" objectType="CheckBox" fmlaLink="AA68" lockText="1" noThreeD="1"/>
</file>

<file path=xl/ctrlProps/ctrlProp585.xml><?xml version="1.0" encoding="utf-8"?>
<formControlPr xmlns="http://schemas.microsoft.com/office/spreadsheetml/2009/9/main" objectType="CheckBox" fmlaLink="AA69" lockText="1" noThreeD="1"/>
</file>

<file path=xl/ctrlProps/ctrlProp586.xml><?xml version="1.0" encoding="utf-8"?>
<formControlPr xmlns="http://schemas.microsoft.com/office/spreadsheetml/2009/9/main" objectType="CheckBox" fmlaLink="AA70" lockText="1" noThreeD="1"/>
</file>

<file path=xl/ctrlProps/ctrlProp587.xml><?xml version="1.0" encoding="utf-8"?>
<formControlPr xmlns="http://schemas.microsoft.com/office/spreadsheetml/2009/9/main" objectType="CheckBox" fmlaLink="AA71" lockText="1" noThreeD="1"/>
</file>

<file path=xl/ctrlProps/ctrlProp588.xml><?xml version="1.0" encoding="utf-8"?>
<formControlPr xmlns="http://schemas.microsoft.com/office/spreadsheetml/2009/9/main" objectType="CheckBox" fmlaLink="AA72" lockText="1" noThreeD="1"/>
</file>

<file path=xl/ctrlProps/ctrlProp589.xml><?xml version="1.0" encoding="utf-8"?>
<formControlPr xmlns="http://schemas.microsoft.com/office/spreadsheetml/2009/9/main" objectType="CheckBox" fmlaLink="AA73" lockText="1" noThreeD="1"/>
</file>

<file path=xl/ctrlProps/ctrlProp590.xml><?xml version="1.0" encoding="utf-8"?>
<formControlPr xmlns="http://schemas.microsoft.com/office/spreadsheetml/2009/9/main" objectType="CheckBox" fmlaLink="AB64" lockText="1" noThreeD="1"/>
</file>

<file path=xl/ctrlProps/ctrlProp591.xml><?xml version="1.0" encoding="utf-8"?>
<formControlPr xmlns="http://schemas.microsoft.com/office/spreadsheetml/2009/9/main" objectType="CheckBox" fmlaLink="AB65" lockText="1" noThreeD="1"/>
</file>

<file path=xl/ctrlProps/ctrlProp592.xml><?xml version="1.0" encoding="utf-8"?>
<formControlPr xmlns="http://schemas.microsoft.com/office/spreadsheetml/2009/9/main" objectType="CheckBox" fmlaLink="AB66" lockText="1" noThreeD="1"/>
</file>

<file path=xl/ctrlProps/ctrlProp593.xml><?xml version="1.0" encoding="utf-8"?>
<formControlPr xmlns="http://schemas.microsoft.com/office/spreadsheetml/2009/9/main" objectType="CheckBox" fmlaLink="AB68" lockText="1" noThreeD="1"/>
</file>

<file path=xl/ctrlProps/ctrlProp594.xml><?xml version="1.0" encoding="utf-8"?>
<formControlPr xmlns="http://schemas.microsoft.com/office/spreadsheetml/2009/9/main" objectType="CheckBox" fmlaLink="AB69" lockText="1" noThreeD="1"/>
</file>

<file path=xl/ctrlProps/ctrlProp595.xml><?xml version="1.0" encoding="utf-8"?>
<formControlPr xmlns="http://schemas.microsoft.com/office/spreadsheetml/2009/9/main" objectType="CheckBox" fmlaLink="AB70" lockText="1" noThreeD="1"/>
</file>

<file path=xl/ctrlProps/ctrlProp596.xml><?xml version="1.0" encoding="utf-8"?>
<formControlPr xmlns="http://schemas.microsoft.com/office/spreadsheetml/2009/9/main" objectType="CheckBox" fmlaLink="AB71" lockText="1" noThreeD="1"/>
</file>

<file path=xl/ctrlProps/ctrlProp597.xml><?xml version="1.0" encoding="utf-8"?>
<formControlPr xmlns="http://schemas.microsoft.com/office/spreadsheetml/2009/9/main" objectType="CheckBox" fmlaLink="AB72" lockText="1" noThreeD="1"/>
</file>

<file path=xl/ctrlProps/ctrlProp598.xml><?xml version="1.0" encoding="utf-8"?>
<formControlPr xmlns="http://schemas.microsoft.com/office/spreadsheetml/2009/9/main" objectType="CheckBox" fmlaLink="AB73" lockText="1" noThreeD="1"/>
</file>

<file path=xl/ctrlProps/ctrlProp599.xml><?xml version="1.0" encoding="utf-8"?>
<formControlPr xmlns="http://schemas.microsoft.com/office/spreadsheetml/2009/9/main" objectType="CheckBox" fmlaLink="AA67" lockText="1" noThreeD="1"/>
</file>

<file path=xl/ctrlProps/ctrlProp600.xml><?xml version="1.0" encoding="utf-8"?>
<formControlPr xmlns="http://schemas.microsoft.com/office/spreadsheetml/2009/9/main" objectType="CheckBox" fmlaLink="AB67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323850</xdr:colOff>
          <xdr:row>15</xdr:row>
          <xdr:rowOff>222250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317500</xdr:colOff>
          <xdr:row>16</xdr:row>
          <xdr:rowOff>260350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69850</xdr:rowOff>
        </xdr:from>
        <xdr:to>
          <xdr:col>1</xdr:col>
          <xdr:colOff>298450</xdr:colOff>
          <xdr:row>20</xdr:row>
          <xdr:rowOff>222250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21</xdr:row>
          <xdr:rowOff>69850</xdr:rowOff>
        </xdr:from>
        <xdr:to>
          <xdr:col>1</xdr:col>
          <xdr:colOff>279400</xdr:colOff>
          <xdr:row>21</xdr:row>
          <xdr:rowOff>241300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323850</xdr:colOff>
          <xdr:row>22</xdr:row>
          <xdr:rowOff>241300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298450</xdr:colOff>
          <xdr:row>24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27</xdr:row>
          <xdr:rowOff>69850</xdr:rowOff>
        </xdr:from>
        <xdr:to>
          <xdr:col>1</xdr:col>
          <xdr:colOff>323850</xdr:colOff>
          <xdr:row>27</xdr:row>
          <xdr:rowOff>222250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69850</xdr:rowOff>
        </xdr:from>
        <xdr:to>
          <xdr:col>1</xdr:col>
          <xdr:colOff>323850</xdr:colOff>
          <xdr:row>28</xdr:row>
          <xdr:rowOff>222250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323850</xdr:colOff>
          <xdr:row>29</xdr:row>
          <xdr:rowOff>222250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323850</xdr:colOff>
          <xdr:row>31</xdr:row>
          <xdr:rowOff>222250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323850</xdr:colOff>
          <xdr:row>32</xdr:row>
          <xdr:rowOff>222250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323850</xdr:colOff>
          <xdr:row>33</xdr:row>
          <xdr:rowOff>222250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69850</xdr:rowOff>
        </xdr:from>
        <xdr:to>
          <xdr:col>1</xdr:col>
          <xdr:colOff>323850</xdr:colOff>
          <xdr:row>34</xdr:row>
          <xdr:rowOff>222250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323850</xdr:colOff>
          <xdr:row>36</xdr:row>
          <xdr:rowOff>222250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323850</xdr:colOff>
          <xdr:row>39</xdr:row>
          <xdr:rowOff>222250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323850</xdr:colOff>
          <xdr:row>40</xdr:row>
          <xdr:rowOff>222250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41</xdr:row>
          <xdr:rowOff>69850</xdr:rowOff>
        </xdr:from>
        <xdr:to>
          <xdr:col>1</xdr:col>
          <xdr:colOff>323850</xdr:colOff>
          <xdr:row>41</xdr:row>
          <xdr:rowOff>222250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323850</xdr:colOff>
          <xdr:row>43</xdr:row>
          <xdr:rowOff>222250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323850</xdr:colOff>
          <xdr:row>44</xdr:row>
          <xdr:rowOff>222250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323850</xdr:colOff>
          <xdr:row>45</xdr:row>
          <xdr:rowOff>222250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323850</xdr:colOff>
          <xdr:row>46</xdr:row>
          <xdr:rowOff>222250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323850</xdr:colOff>
          <xdr:row>47</xdr:row>
          <xdr:rowOff>222250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48</xdr:row>
          <xdr:rowOff>69850</xdr:rowOff>
        </xdr:from>
        <xdr:to>
          <xdr:col>1</xdr:col>
          <xdr:colOff>323850</xdr:colOff>
          <xdr:row>48</xdr:row>
          <xdr:rowOff>222250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323850</xdr:colOff>
          <xdr:row>51</xdr:row>
          <xdr:rowOff>222250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323850</xdr:colOff>
          <xdr:row>52</xdr:row>
          <xdr:rowOff>222250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323850</xdr:colOff>
          <xdr:row>53</xdr:row>
          <xdr:rowOff>222250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55</xdr:row>
          <xdr:rowOff>69850</xdr:rowOff>
        </xdr:from>
        <xdr:to>
          <xdr:col>1</xdr:col>
          <xdr:colOff>323850</xdr:colOff>
          <xdr:row>55</xdr:row>
          <xdr:rowOff>222250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56</xdr:row>
          <xdr:rowOff>69850</xdr:rowOff>
        </xdr:from>
        <xdr:to>
          <xdr:col>1</xdr:col>
          <xdr:colOff>323850</xdr:colOff>
          <xdr:row>56</xdr:row>
          <xdr:rowOff>222250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323850</xdr:colOff>
          <xdr:row>57</xdr:row>
          <xdr:rowOff>222250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323850</xdr:colOff>
          <xdr:row>58</xdr:row>
          <xdr:rowOff>222250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323850</xdr:colOff>
          <xdr:row>59</xdr:row>
          <xdr:rowOff>222250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323850</xdr:colOff>
          <xdr:row>60</xdr:row>
          <xdr:rowOff>222250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323850</xdr:colOff>
          <xdr:row>15</xdr:row>
          <xdr:rowOff>222250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323850</xdr:colOff>
          <xdr:row>16</xdr:row>
          <xdr:rowOff>222250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323850</xdr:colOff>
          <xdr:row>19</xdr:row>
          <xdr:rowOff>222250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69850</xdr:rowOff>
        </xdr:from>
        <xdr:to>
          <xdr:col>2</xdr:col>
          <xdr:colOff>323850</xdr:colOff>
          <xdr:row>20</xdr:row>
          <xdr:rowOff>222250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69850</xdr:rowOff>
        </xdr:from>
        <xdr:to>
          <xdr:col>2</xdr:col>
          <xdr:colOff>323850</xdr:colOff>
          <xdr:row>21</xdr:row>
          <xdr:rowOff>222250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323850</xdr:colOff>
          <xdr:row>22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323850</xdr:colOff>
          <xdr:row>24</xdr:row>
          <xdr:rowOff>222250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27</xdr:row>
          <xdr:rowOff>69850</xdr:rowOff>
        </xdr:from>
        <xdr:to>
          <xdr:col>2</xdr:col>
          <xdr:colOff>323850</xdr:colOff>
          <xdr:row>27</xdr:row>
          <xdr:rowOff>222250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28</xdr:row>
          <xdr:rowOff>69850</xdr:rowOff>
        </xdr:from>
        <xdr:to>
          <xdr:col>2</xdr:col>
          <xdr:colOff>323850</xdr:colOff>
          <xdr:row>28</xdr:row>
          <xdr:rowOff>222250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323850</xdr:colOff>
          <xdr:row>29</xdr:row>
          <xdr:rowOff>222250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323850</xdr:colOff>
          <xdr:row>31</xdr:row>
          <xdr:rowOff>222250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323850</xdr:colOff>
          <xdr:row>32</xdr:row>
          <xdr:rowOff>222250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323850</xdr:colOff>
          <xdr:row>33</xdr:row>
          <xdr:rowOff>222250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34</xdr:row>
          <xdr:rowOff>69850</xdr:rowOff>
        </xdr:from>
        <xdr:to>
          <xdr:col>2</xdr:col>
          <xdr:colOff>323850</xdr:colOff>
          <xdr:row>34</xdr:row>
          <xdr:rowOff>222250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323850</xdr:colOff>
          <xdr:row>36</xdr:row>
          <xdr:rowOff>222250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323850</xdr:colOff>
          <xdr:row>39</xdr:row>
          <xdr:rowOff>222250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323850</xdr:colOff>
          <xdr:row>40</xdr:row>
          <xdr:rowOff>222250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41</xdr:row>
          <xdr:rowOff>69850</xdr:rowOff>
        </xdr:from>
        <xdr:to>
          <xdr:col>2</xdr:col>
          <xdr:colOff>323850</xdr:colOff>
          <xdr:row>41</xdr:row>
          <xdr:rowOff>222250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323850</xdr:colOff>
          <xdr:row>43</xdr:row>
          <xdr:rowOff>222250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323850</xdr:colOff>
          <xdr:row>44</xdr:row>
          <xdr:rowOff>222250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323850</xdr:colOff>
          <xdr:row>45</xdr:row>
          <xdr:rowOff>222250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323850</xdr:colOff>
          <xdr:row>46</xdr:row>
          <xdr:rowOff>222250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323850</xdr:colOff>
          <xdr:row>47</xdr:row>
          <xdr:rowOff>222250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48</xdr:row>
          <xdr:rowOff>69850</xdr:rowOff>
        </xdr:from>
        <xdr:to>
          <xdr:col>2</xdr:col>
          <xdr:colOff>323850</xdr:colOff>
          <xdr:row>48</xdr:row>
          <xdr:rowOff>222250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323850</xdr:colOff>
          <xdr:row>51</xdr:row>
          <xdr:rowOff>222250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323850</xdr:colOff>
          <xdr:row>52</xdr:row>
          <xdr:rowOff>222250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323850</xdr:colOff>
          <xdr:row>53</xdr:row>
          <xdr:rowOff>222250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55</xdr:row>
          <xdr:rowOff>69850</xdr:rowOff>
        </xdr:from>
        <xdr:to>
          <xdr:col>2</xdr:col>
          <xdr:colOff>323850</xdr:colOff>
          <xdr:row>55</xdr:row>
          <xdr:rowOff>222250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56</xdr:row>
          <xdr:rowOff>69850</xdr:rowOff>
        </xdr:from>
        <xdr:to>
          <xdr:col>2</xdr:col>
          <xdr:colOff>323850</xdr:colOff>
          <xdr:row>56</xdr:row>
          <xdr:rowOff>222250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323850</xdr:colOff>
          <xdr:row>57</xdr:row>
          <xdr:rowOff>222250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323850</xdr:colOff>
          <xdr:row>58</xdr:row>
          <xdr:rowOff>222250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323850</xdr:colOff>
          <xdr:row>59</xdr:row>
          <xdr:rowOff>222250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323850</xdr:colOff>
          <xdr:row>60</xdr:row>
          <xdr:rowOff>222250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2</xdr:col>
      <xdr:colOff>607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247650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323850</xdr:colOff>
          <xdr:row>18</xdr:row>
          <xdr:rowOff>222250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317500</xdr:colOff>
          <xdr:row>17</xdr:row>
          <xdr:rowOff>260350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323850</xdr:colOff>
          <xdr:row>17</xdr:row>
          <xdr:rowOff>222250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323850</xdr:colOff>
          <xdr:row>23</xdr:row>
          <xdr:rowOff>241300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323850</xdr:colOff>
          <xdr:row>23</xdr:row>
          <xdr:rowOff>222250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323850</xdr:colOff>
          <xdr:row>30</xdr:row>
          <xdr:rowOff>222250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323850</xdr:colOff>
          <xdr:row>30</xdr:row>
          <xdr:rowOff>222250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35</xdr:row>
          <xdr:rowOff>69850</xdr:rowOff>
        </xdr:from>
        <xdr:to>
          <xdr:col>1</xdr:col>
          <xdr:colOff>323850</xdr:colOff>
          <xdr:row>35</xdr:row>
          <xdr:rowOff>222250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35</xdr:row>
          <xdr:rowOff>69850</xdr:rowOff>
        </xdr:from>
        <xdr:to>
          <xdr:col>2</xdr:col>
          <xdr:colOff>323850</xdr:colOff>
          <xdr:row>35</xdr:row>
          <xdr:rowOff>222250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69850</xdr:rowOff>
        </xdr:from>
        <xdr:to>
          <xdr:col>1</xdr:col>
          <xdr:colOff>323850</xdr:colOff>
          <xdr:row>42</xdr:row>
          <xdr:rowOff>222250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69850</xdr:rowOff>
        </xdr:from>
        <xdr:to>
          <xdr:col>2</xdr:col>
          <xdr:colOff>323850</xdr:colOff>
          <xdr:row>42</xdr:row>
          <xdr:rowOff>222250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323850</xdr:colOff>
          <xdr:row>54</xdr:row>
          <xdr:rowOff>222250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323850</xdr:colOff>
          <xdr:row>54</xdr:row>
          <xdr:rowOff>222250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63</xdr:row>
          <xdr:rowOff>69850</xdr:rowOff>
        </xdr:from>
        <xdr:to>
          <xdr:col>1</xdr:col>
          <xdr:colOff>323850</xdr:colOff>
          <xdr:row>63</xdr:row>
          <xdr:rowOff>222250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323850</xdr:colOff>
          <xdr:row>64</xdr:row>
          <xdr:rowOff>222250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323850</xdr:colOff>
          <xdr:row>65</xdr:row>
          <xdr:rowOff>222250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323850</xdr:colOff>
          <xdr:row>67</xdr:row>
          <xdr:rowOff>222250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323850</xdr:colOff>
          <xdr:row>68</xdr:row>
          <xdr:rowOff>222250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69</xdr:row>
          <xdr:rowOff>69850</xdr:rowOff>
        </xdr:from>
        <xdr:to>
          <xdr:col>1</xdr:col>
          <xdr:colOff>323850</xdr:colOff>
          <xdr:row>69</xdr:row>
          <xdr:rowOff>222250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70</xdr:row>
          <xdr:rowOff>69850</xdr:rowOff>
        </xdr:from>
        <xdr:to>
          <xdr:col>1</xdr:col>
          <xdr:colOff>323850</xdr:colOff>
          <xdr:row>70</xdr:row>
          <xdr:rowOff>222250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323850</xdr:colOff>
          <xdr:row>71</xdr:row>
          <xdr:rowOff>222250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323850</xdr:colOff>
          <xdr:row>72</xdr:row>
          <xdr:rowOff>222250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69850</xdr:rowOff>
        </xdr:from>
        <xdr:to>
          <xdr:col>2</xdr:col>
          <xdr:colOff>323850</xdr:colOff>
          <xdr:row>63</xdr:row>
          <xdr:rowOff>222250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323850</xdr:colOff>
          <xdr:row>64</xdr:row>
          <xdr:rowOff>222250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323850</xdr:colOff>
          <xdr:row>65</xdr:row>
          <xdr:rowOff>222250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323850</xdr:colOff>
          <xdr:row>67</xdr:row>
          <xdr:rowOff>222250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323850</xdr:colOff>
          <xdr:row>68</xdr:row>
          <xdr:rowOff>222250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69</xdr:row>
          <xdr:rowOff>69850</xdr:rowOff>
        </xdr:from>
        <xdr:to>
          <xdr:col>2</xdr:col>
          <xdr:colOff>323850</xdr:colOff>
          <xdr:row>69</xdr:row>
          <xdr:rowOff>222250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70</xdr:row>
          <xdr:rowOff>69850</xdr:rowOff>
        </xdr:from>
        <xdr:to>
          <xdr:col>2</xdr:col>
          <xdr:colOff>323850</xdr:colOff>
          <xdr:row>70</xdr:row>
          <xdr:rowOff>222250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323850</xdr:colOff>
          <xdr:row>71</xdr:row>
          <xdr:rowOff>222250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323850</xdr:colOff>
          <xdr:row>72</xdr:row>
          <xdr:rowOff>222250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323850</xdr:colOff>
          <xdr:row>66</xdr:row>
          <xdr:rowOff>222250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323850</xdr:colOff>
          <xdr:row>66</xdr:row>
          <xdr:rowOff>222250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323850</xdr:colOff>
          <xdr:row>15</xdr:row>
          <xdr:rowOff>222250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96C7E46-8BE1-4F3E-B9AE-6B684C094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317500</xdr:colOff>
          <xdr:row>16</xdr:row>
          <xdr:rowOff>260350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4A8C6A96-4CF4-4121-8A8F-A97FA419D2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A524792-B4F2-433A-9583-373DA879F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69850</xdr:rowOff>
        </xdr:from>
        <xdr:to>
          <xdr:col>1</xdr:col>
          <xdr:colOff>298450</xdr:colOff>
          <xdr:row>20</xdr:row>
          <xdr:rowOff>222250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58CC824F-6FBE-497B-862D-75DD0550AE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21</xdr:row>
          <xdr:rowOff>69850</xdr:rowOff>
        </xdr:from>
        <xdr:to>
          <xdr:col>1</xdr:col>
          <xdr:colOff>279400</xdr:colOff>
          <xdr:row>21</xdr:row>
          <xdr:rowOff>241300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CC9B4896-9E00-4A85-8788-5BE4DA7986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323850</xdr:colOff>
          <xdr:row>22</xdr:row>
          <xdr:rowOff>241300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7068A3F4-72BC-46F6-B1AE-A37EAAD4E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298450</xdr:colOff>
          <xdr:row>24</xdr:row>
          <xdr:rowOff>228600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B2719101-1C93-4B8B-B25B-C2BAE2D4B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27</xdr:row>
          <xdr:rowOff>69850</xdr:rowOff>
        </xdr:from>
        <xdr:to>
          <xdr:col>1</xdr:col>
          <xdr:colOff>323850</xdr:colOff>
          <xdr:row>27</xdr:row>
          <xdr:rowOff>222250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EAC2D5BB-8347-4536-901E-B4619F433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69850</xdr:rowOff>
        </xdr:from>
        <xdr:to>
          <xdr:col>1</xdr:col>
          <xdr:colOff>323850</xdr:colOff>
          <xdr:row>28</xdr:row>
          <xdr:rowOff>222250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7693F136-7B30-4FA7-BEF4-232AE0BE4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323850</xdr:colOff>
          <xdr:row>29</xdr:row>
          <xdr:rowOff>222250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131D8791-BA1A-4FB5-9148-83E344026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323850</xdr:colOff>
          <xdr:row>31</xdr:row>
          <xdr:rowOff>222250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267C62E8-BD17-45D6-88AE-43BE16FA9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323850</xdr:colOff>
          <xdr:row>32</xdr:row>
          <xdr:rowOff>222250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83EBAD2A-B978-44EC-96E7-75C6DB82E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323850</xdr:colOff>
          <xdr:row>33</xdr:row>
          <xdr:rowOff>222250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8BAE2A2D-37E2-4E28-9922-2FC3E1FF3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69850</xdr:rowOff>
        </xdr:from>
        <xdr:to>
          <xdr:col>1</xdr:col>
          <xdr:colOff>323850</xdr:colOff>
          <xdr:row>34</xdr:row>
          <xdr:rowOff>222250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9EFA6211-735F-4F06-A651-49D336F04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323850</xdr:colOff>
          <xdr:row>36</xdr:row>
          <xdr:rowOff>222250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802816A-8548-4A66-B971-40BFD70AD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323850</xdr:colOff>
          <xdr:row>39</xdr:row>
          <xdr:rowOff>222250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10DEE906-009A-4433-899A-FB05F0FAE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323850</xdr:colOff>
          <xdr:row>40</xdr:row>
          <xdr:rowOff>222250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A1BDFE58-D391-4885-A252-8B302D2A57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41</xdr:row>
          <xdr:rowOff>69850</xdr:rowOff>
        </xdr:from>
        <xdr:to>
          <xdr:col>1</xdr:col>
          <xdr:colOff>323850</xdr:colOff>
          <xdr:row>41</xdr:row>
          <xdr:rowOff>222250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5BD90B3B-16A4-46C4-AB0F-5F554AFB2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323850</xdr:colOff>
          <xdr:row>43</xdr:row>
          <xdr:rowOff>222250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C52E1D42-52A2-4A2C-93DB-B4230C70F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323850</xdr:colOff>
          <xdr:row>44</xdr:row>
          <xdr:rowOff>222250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F2956045-DA4A-4B7B-BEA1-F958E56F6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323850</xdr:colOff>
          <xdr:row>45</xdr:row>
          <xdr:rowOff>222250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37D4FF85-E354-4C78-9D97-FB2F1D0DA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323850</xdr:colOff>
          <xdr:row>46</xdr:row>
          <xdr:rowOff>222250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388908E6-F9E4-4942-B671-5E8D95AFA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323850</xdr:colOff>
          <xdr:row>47</xdr:row>
          <xdr:rowOff>222250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10B6388C-9081-42C8-9330-6905525EB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48</xdr:row>
          <xdr:rowOff>69850</xdr:rowOff>
        </xdr:from>
        <xdr:to>
          <xdr:col>1</xdr:col>
          <xdr:colOff>323850</xdr:colOff>
          <xdr:row>48</xdr:row>
          <xdr:rowOff>222250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4C967FAB-05BD-4D6B-B653-7AC68FCA1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323850</xdr:colOff>
          <xdr:row>51</xdr:row>
          <xdr:rowOff>222250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AE37527B-07F2-424D-8A6F-3F44185035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323850</xdr:colOff>
          <xdr:row>52</xdr:row>
          <xdr:rowOff>222250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3F1FEA8C-77B7-4B51-8135-3A0190039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323850</xdr:colOff>
          <xdr:row>53</xdr:row>
          <xdr:rowOff>222250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3AAD74C-A9D8-465E-BD55-655FB60D1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55</xdr:row>
          <xdr:rowOff>69850</xdr:rowOff>
        </xdr:from>
        <xdr:to>
          <xdr:col>1</xdr:col>
          <xdr:colOff>323850</xdr:colOff>
          <xdr:row>55</xdr:row>
          <xdr:rowOff>222250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7A897B09-719B-49A9-9231-C699A806F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56</xdr:row>
          <xdr:rowOff>69850</xdr:rowOff>
        </xdr:from>
        <xdr:to>
          <xdr:col>1</xdr:col>
          <xdr:colOff>323850</xdr:colOff>
          <xdr:row>56</xdr:row>
          <xdr:rowOff>222250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18B70FD1-9D11-4076-8DE8-9E41FA63D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323850</xdr:colOff>
          <xdr:row>57</xdr:row>
          <xdr:rowOff>222250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F2458174-3435-4224-A6FB-9B981B42D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323850</xdr:colOff>
          <xdr:row>58</xdr:row>
          <xdr:rowOff>222250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2DFB313-59BC-4946-A8DF-BECFCCDBF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323850</xdr:colOff>
          <xdr:row>59</xdr:row>
          <xdr:rowOff>222250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32C6639F-5782-4F6E-8D0E-BB7026255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323850</xdr:colOff>
          <xdr:row>60</xdr:row>
          <xdr:rowOff>222250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ED52EF8E-D895-4413-B825-3DAF7E3DC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323850</xdr:colOff>
          <xdr:row>15</xdr:row>
          <xdr:rowOff>222250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3A4D320A-5A52-4A3D-804F-A9243D0C0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323850</xdr:colOff>
          <xdr:row>16</xdr:row>
          <xdr:rowOff>222250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AD57ED8A-ACB7-436B-B6AF-F244C5A9E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323850</xdr:colOff>
          <xdr:row>19</xdr:row>
          <xdr:rowOff>222250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27753B09-2032-449D-A1FF-FF7D24BCF5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69850</xdr:rowOff>
        </xdr:from>
        <xdr:to>
          <xdr:col>2</xdr:col>
          <xdr:colOff>323850</xdr:colOff>
          <xdr:row>20</xdr:row>
          <xdr:rowOff>222250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446D535E-58D1-4CB1-9530-96D85356D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69850</xdr:rowOff>
        </xdr:from>
        <xdr:to>
          <xdr:col>2</xdr:col>
          <xdr:colOff>323850</xdr:colOff>
          <xdr:row>21</xdr:row>
          <xdr:rowOff>222250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5E55C881-88CC-437B-B2C1-9EA18BD88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323850</xdr:colOff>
          <xdr:row>22</xdr:row>
          <xdr:rowOff>222250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F0CF2D2F-A37E-4FF4-B795-FE1434D73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323850</xdr:colOff>
          <xdr:row>24</xdr:row>
          <xdr:rowOff>222250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6F1AB922-5E86-43CE-8B68-672DC207B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27</xdr:row>
          <xdr:rowOff>69850</xdr:rowOff>
        </xdr:from>
        <xdr:to>
          <xdr:col>2</xdr:col>
          <xdr:colOff>323850</xdr:colOff>
          <xdr:row>27</xdr:row>
          <xdr:rowOff>222250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A1729E02-9922-431E-9D61-9CB03ACC8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28</xdr:row>
          <xdr:rowOff>69850</xdr:rowOff>
        </xdr:from>
        <xdr:to>
          <xdr:col>2</xdr:col>
          <xdr:colOff>323850</xdr:colOff>
          <xdr:row>28</xdr:row>
          <xdr:rowOff>222250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6F25609C-F559-41AF-9B2B-60DEA1111B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323850</xdr:colOff>
          <xdr:row>29</xdr:row>
          <xdr:rowOff>222250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879F351A-8143-41C5-9975-09B934093C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323850</xdr:colOff>
          <xdr:row>31</xdr:row>
          <xdr:rowOff>222250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EC44BE9B-D98F-4ED4-9F01-92AC60492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323850</xdr:colOff>
          <xdr:row>32</xdr:row>
          <xdr:rowOff>222250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B0E8E104-0904-4670-A96A-212C3E0202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323850</xdr:colOff>
          <xdr:row>33</xdr:row>
          <xdr:rowOff>222250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577C4091-E0FC-4E47-95C2-3906A1148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34</xdr:row>
          <xdr:rowOff>69850</xdr:rowOff>
        </xdr:from>
        <xdr:to>
          <xdr:col>2</xdr:col>
          <xdr:colOff>323850</xdr:colOff>
          <xdr:row>34</xdr:row>
          <xdr:rowOff>222250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52EDCAE4-3019-4CBE-841E-6701798DB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323850</xdr:colOff>
          <xdr:row>36</xdr:row>
          <xdr:rowOff>222250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7F7C2CD3-1B27-4F4B-B424-4CDA1CA46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323850</xdr:colOff>
          <xdr:row>39</xdr:row>
          <xdr:rowOff>222250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C8DCFBE1-D793-4572-BE14-0D97E2986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323850</xdr:colOff>
          <xdr:row>40</xdr:row>
          <xdr:rowOff>222250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B0018DC0-9A8E-4771-84FC-F25A79D14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41</xdr:row>
          <xdr:rowOff>69850</xdr:rowOff>
        </xdr:from>
        <xdr:to>
          <xdr:col>2</xdr:col>
          <xdr:colOff>323850</xdr:colOff>
          <xdr:row>41</xdr:row>
          <xdr:rowOff>222250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5C71478A-C2F9-4FEE-A6A9-162C525B82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323850</xdr:colOff>
          <xdr:row>43</xdr:row>
          <xdr:rowOff>222250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CCC77F0-117A-4006-9E53-1FE142EB5F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323850</xdr:colOff>
          <xdr:row>44</xdr:row>
          <xdr:rowOff>222250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73345E1F-2133-48F6-B55D-3E66A6F77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323850</xdr:colOff>
          <xdr:row>45</xdr:row>
          <xdr:rowOff>222250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1ACC948A-13D0-4651-997C-64E8212669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323850</xdr:colOff>
          <xdr:row>46</xdr:row>
          <xdr:rowOff>222250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D2B044F2-75B2-4554-BEB5-6A901BB6C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323850</xdr:colOff>
          <xdr:row>47</xdr:row>
          <xdr:rowOff>222250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8024B4C3-D699-4C46-957C-351FA8F40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48</xdr:row>
          <xdr:rowOff>69850</xdr:rowOff>
        </xdr:from>
        <xdr:to>
          <xdr:col>2</xdr:col>
          <xdr:colOff>323850</xdr:colOff>
          <xdr:row>48</xdr:row>
          <xdr:rowOff>222250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28CBE668-352A-45EE-BE48-070CC51846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323850</xdr:colOff>
          <xdr:row>51</xdr:row>
          <xdr:rowOff>222250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9799602A-0A8C-4B74-9ED4-99B250487B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323850</xdr:colOff>
          <xdr:row>52</xdr:row>
          <xdr:rowOff>222250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FF915390-0A2D-42E2-B832-9BDFD08EF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323850</xdr:colOff>
          <xdr:row>53</xdr:row>
          <xdr:rowOff>222250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7FB36772-F9CA-4323-9C34-631DA0A133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55</xdr:row>
          <xdr:rowOff>69850</xdr:rowOff>
        </xdr:from>
        <xdr:to>
          <xdr:col>2</xdr:col>
          <xdr:colOff>323850</xdr:colOff>
          <xdr:row>55</xdr:row>
          <xdr:rowOff>222250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99FC5AB-8270-4AA5-9167-E5C0C058F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56</xdr:row>
          <xdr:rowOff>69850</xdr:rowOff>
        </xdr:from>
        <xdr:to>
          <xdr:col>2</xdr:col>
          <xdr:colOff>323850</xdr:colOff>
          <xdr:row>56</xdr:row>
          <xdr:rowOff>222250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2A9AD153-01DB-4670-A1D4-E0E3991CA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323850</xdr:colOff>
          <xdr:row>57</xdr:row>
          <xdr:rowOff>222250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9907FCC7-90D5-4DBD-A8D6-590C740010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323850</xdr:colOff>
          <xdr:row>58</xdr:row>
          <xdr:rowOff>222250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1ED9E94B-DC4B-4E6C-8527-E0C8BC8FF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323850</xdr:colOff>
          <xdr:row>59</xdr:row>
          <xdr:rowOff>222250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D9D006B5-1266-44F7-8D8A-CD6A4CC2F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323850</xdr:colOff>
          <xdr:row>60</xdr:row>
          <xdr:rowOff>222250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EE8F94B5-239C-4685-B4E5-42F34645D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2</xdr:col>
      <xdr:colOff>607</xdr:colOff>
      <xdr:row>4</xdr:row>
      <xdr:rowOff>34290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E1C3568-F1B6-4223-AF08-25B156550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8157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69" name="Picture 23">
          <a:extLst>
            <a:ext uri="{FF2B5EF4-FFF2-40B4-BE49-F238E27FC236}">
              <a16:creationId xmlns:a16="http://schemas.microsoft.com/office/drawing/2014/main" id="{9513913A-A2EC-4247-A922-58782C7A8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247650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CE559477-C95B-4723-B8B0-6067DD40E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323850</xdr:colOff>
          <xdr:row>18</xdr:row>
          <xdr:rowOff>222250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3BFF728F-5A80-47B4-82DA-09892F486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317500</xdr:colOff>
          <xdr:row>17</xdr:row>
          <xdr:rowOff>260350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A39BA795-450B-43B5-999E-171440338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323850</xdr:colOff>
          <xdr:row>17</xdr:row>
          <xdr:rowOff>222250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C8B20E54-C196-4BD9-BF64-8EEF3C462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323850</xdr:colOff>
          <xdr:row>23</xdr:row>
          <xdr:rowOff>241300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8A82D51E-7920-46C4-9ACB-EFDB7DDA1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323850</xdr:colOff>
          <xdr:row>23</xdr:row>
          <xdr:rowOff>222250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88827E35-9368-47D4-A5B4-1EC550A303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323850</xdr:colOff>
          <xdr:row>30</xdr:row>
          <xdr:rowOff>222250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B61A699C-4633-4AC7-9C36-6F745DF9C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323850</xdr:colOff>
          <xdr:row>30</xdr:row>
          <xdr:rowOff>222250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7317E9E4-FFFE-495D-BCB6-FBA21375B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35</xdr:row>
          <xdr:rowOff>69850</xdr:rowOff>
        </xdr:from>
        <xdr:to>
          <xdr:col>1</xdr:col>
          <xdr:colOff>323850</xdr:colOff>
          <xdr:row>35</xdr:row>
          <xdr:rowOff>222250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B6320690-E200-46F1-A8FE-BD8379337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35</xdr:row>
          <xdr:rowOff>69850</xdr:rowOff>
        </xdr:from>
        <xdr:to>
          <xdr:col>2</xdr:col>
          <xdr:colOff>323850</xdr:colOff>
          <xdr:row>35</xdr:row>
          <xdr:rowOff>222250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BB585227-67B8-4A9C-B114-81E70156E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69850</xdr:rowOff>
        </xdr:from>
        <xdr:to>
          <xdr:col>1</xdr:col>
          <xdr:colOff>323850</xdr:colOff>
          <xdr:row>42</xdr:row>
          <xdr:rowOff>222250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FDA7D46B-8BAA-4F1D-9BCE-20F8CD331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69850</xdr:rowOff>
        </xdr:from>
        <xdr:to>
          <xdr:col>2</xdr:col>
          <xdr:colOff>323850</xdr:colOff>
          <xdr:row>42</xdr:row>
          <xdr:rowOff>222250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1DD2A469-80A7-4ED9-B44A-29A38B9BA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323850</xdr:colOff>
          <xdr:row>54</xdr:row>
          <xdr:rowOff>222250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EA033DFE-79DB-48D1-BA85-423C702A6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323850</xdr:colOff>
          <xdr:row>54</xdr:row>
          <xdr:rowOff>222250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D0112933-7894-47F6-8386-DF7586034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63</xdr:row>
          <xdr:rowOff>69850</xdr:rowOff>
        </xdr:from>
        <xdr:to>
          <xdr:col>1</xdr:col>
          <xdr:colOff>323850</xdr:colOff>
          <xdr:row>63</xdr:row>
          <xdr:rowOff>222250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E8475554-D94B-4B7E-84AB-BC48316B7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323850</xdr:colOff>
          <xdr:row>64</xdr:row>
          <xdr:rowOff>222250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8307FD6C-32D6-4EA0-BBFA-C2D7B31361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323850</xdr:colOff>
          <xdr:row>65</xdr:row>
          <xdr:rowOff>222250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8A134242-44B3-4F7B-ABEF-D74937A3C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323850</xdr:colOff>
          <xdr:row>67</xdr:row>
          <xdr:rowOff>222250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B508975C-C7FC-4315-B54C-47DD3DC68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323850</xdr:colOff>
          <xdr:row>68</xdr:row>
          <xdr:rowOff>222250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A50E1E70-8243-4509-8636-C69CD12AFE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69</xdr:row>
          <xdr:rowOff>69850</xdr:rowOff>
        </xdr:from>
        <xdr:to>
          <xdr:col>1</xdr:col>
          <xdr:colOff>323850</xdr:colOff>
          <xdr:row>69</xdr:row>
          <xdr:rowOff>222250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EFA2C32D-D490-462E-860B-1995C1F9B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70</xdr:row>
          <xdr:rowOff>69850</xdr:rowOff>
        </xdr:from>
        <xdr:to>
          <xdr:col>1</xdr:col>
          <xdr:colOff>323850</xdr:colOff>
          <xdr:row>70</xdr:row>
          <xdr:rowOff>222250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2535BD15-A827-4E40-9606-F959B1483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323850</xdr:colOff>
          <xdr:row>71</xdr:row>
          <xdr:rowOff>222250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8F5EA1-E05C-49DF-8FAE-AFB12A1B8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323850</xdr:colOff>
          <xdr:row>72</xdr:row>
          <xdr:rowOff>222250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E75F0F61-C03B-417B-8FA7-68F1DEF26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69850</xdr:rowOff>
        </xdr:from>
        <xdr:to>
          <xdr:col>2</xdr:col>
          <xdr:colOff>323850</xdr:colOff>
          <xdr:row>63</xdr:row>
          <xdr:rowOff>222250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5D4C7B0E-174D-4D92-8815-692FF7EF1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323850</xdr:colOff>
          <xdr:row>64</xdr:row>
          <xdr:rowOff>222250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9687CD49-3F43-4453-A22C-B0127F3068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323850</xdr:colOff>
          <xdr:row>65</xdr:row>
          <xdr:rowOff>222250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2657F282-093A-47A8-9370-D8B36477D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323850</xdr:colOff>
          <xdr:row>67</xdr:row>
          <xdr:rowOff>222250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63A295CE-79B9-4BB5-99E5-78ED0DA916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323850</xdr:colOff>
          <xdr:row>68</xdr:row>
          <xdr:rowOff>222250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2F115556-F2B7-4AAD-92A5-AE0B3F9C1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69</xdr:row>
          <xdr:rowOff>69850</xdr:rowOff>
        </xdr:from>
        <xdr:to>
          <xdr:col>2</xdr:col>
          <xdr:colOff>323850</xdr:colOff>
          <xdr:row>69</xdr:row>
          <xdr:rowOff>222250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4CEB26C6-7702-4530-9C03-6E58549CF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70</xdr:row>
          <xdr:rowOff>69850</xdr:rowOff>
        </xdr:from>
        <xdr:to>
          <xdr:col>2</xdr:col>
          <xdr:colOff>323850</xdr:colOff>
          <xdr:row>70</xdr:row>
          <xdr:rowOff>222250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6341CDB5-BB14-448A-9374-BA8D64CF5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323850</xdr:colOff>
          <xdr:row>71</xdr:row>
          <xdr:rowOff>222250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6716DF21-1F9E-4612-86AD-6FB22AD18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323850</xdr:colOff>
          <xdr:row>72</xdr:row>
          <xdr:rowOff>222250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C1F1BB57-2304-484A-819C-F179B5D74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323850</xdr:colOff>
          <xdr:row>66</xdr:row>
          <xdr:rowOff>222250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465C6CAD-D401-4CB1-97E9-FDB54199F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323850</xdr:colOff>
          <xdr:row>66</xdr:row>
          <xdr:rowOff>222250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83F841EE-3C97-4153-90B0-DF53AF01F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323850</xdr:colOff>
          <xdr:row>15</xdr:row>
          <xdr:rowOff>222250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B5498FAE-5D64-45E3-BB0A-8AF83BB84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317500</xdr:colOff>
          <xdr:row>16</xdr:row>
          <xdr:rowOff>260350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F00D03EF-AA51-4224-9098-F8D621200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B5C89C5B-025E-4BA6-8655-40B6CCED1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69850</xdr:rowOff>
        </xdr:from>
        <xdr:to>
          <xdr:col>1</xdr:col>
          <xdr:colOff>298450</xdr:colOff>
          <xdr:row>20</xdr:row>
          <xdr:rowOff>222250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48D2C2ED-8AA0-46FC-81A4-5F9881C9C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21</xdr:row>
          <xdr:rowOff>69850</xdr:rowOff>
        </xdr:from>
        <xdr:to>
          <xdr:col>1</xdr:col>
          <xdr:colOff>279400</xdr:colOff>
          <xdr:row>21</xdr:row>
          <xdr:rowOff>241300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4415319F-3B2E-4625-B0AB-0F07CFF805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323850</xdr:colOff>
          <xdr:row>22</xdr:row>
          <xdr:rowOff>241300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ECBEFFA3-0EDE-435F-8627-C084BE0F31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298450</xdr:colOff>
          <xdr:row>24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F1A346AE-27D4-4A0F-8853-471B2D36BB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27</xdr:row>
          <xdr:rowOff>69850</xdr:rowOff>
        </xdr:from>
        <xdr:to>
          <xdr:col>1</xdr:col>
          <xdr:colOff>323850</xdr:colOff>
          <xdr:row>27</xdr:row>
          <xdr:rowOff>222250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B93ACBC4-BBDD-4CE0-96A2-566720341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69850</xdr:rowOff>
        </xdr:from>
        <xdr:to>
          <xdr:col>1</xdr:col>
          <xdr:colOff>323850</xdr:colOff>
          <xdr:row>28</xdr:row>
          <xdr:rowOff>222250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C5CAF4AA-D22F-43AF-B572-7DCE4FCAB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323850</xdr:colOff>
          <xdr:row>29</xdr:row>
          <xdr:rowOff>222250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FCA2301B-3916-490C-8395-BA1E43D46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323850</xdr:colOff>
          <xdr:row>31</xdr:row>
          <xdr:rowOff>222250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561F4B4D-492A-4322-B82A-A63D411EF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323850</xdr:colOff>
          <xdr:row>32</xdr:row>
          <xdr:rowOff>222250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FCFB24BD-BA8F-4589-AD44-5E98BDB18A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323850</xdr:colOff>
          <xdr:row>33</xdr:row>
          <xdr:rowOff>222250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9BA84951-7560-435E-B10B-468EB08A5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69850</xdr:rowOff>
        </xdr:from>
        <xdr:to>
          <xdr:col>1</xdr:col>
          <xdr:colOff>323850</xdr:colOff>
          <xdr:row>34</xdr:row>
          <xdr:rowOff>222250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47E93C50-0D2A-4F12-953F-AF24562B6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323850</xdr:colOff>
          <xdr:row>36</xdr:row>
          <xdr:rowOff>222250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F4C001A6-1DD5-4B69-8EB8-1228FEED3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323850</xdr:colOff>
          <xdr:row>39</xdr:row>
          <xdr:rowOff>222250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C2A7BE44-EABF-44A7-95C2-EE73F357E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323850</xdr:colOff>
          <xdr:row>40</xdr:row>
          <xdr:rowOff>222250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DB0E62F7-C816-4121-9411-962D43EDE7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41</xdr:row>
          <xdr:rowOff>69850</xdr:rowOff>
        </xdr:from>
        <xdr:to>
          <xdr:col>1</xdr:col>
          <xdr:colOff>323850</xdr:colOff>
          <xdr:row>41</xdr:row>
          <xdr:rowOff>222250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2CCB8846-269C-4C43-8C48-C0B3E2DC3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323850</xdr:colOff>
          <xdr:row>43</xdr:row>
          <xdr:rowOff>222250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BEA6BB52-8FA5-478D-AAC4-82C1DFA78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323850</xdr:colOff>
          <xdr:row>44</xdr:row>
          <xdr:rowOff>222250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8FFBBCAF-ADC2-4F9C-AEBF-CDFB9EA77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323850</xdr:colOff>
          <xdr:row>45</xdr:row>
          <xdr:rowOff>222250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F28E0E2D-0280-4EC0-8DF3-A5D826BCE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323850</xdr:colOff>
          <xdr:row>46</xdr:row>
          <xdr:rowOff>222250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77E13AEB-5FEE-4586-84EB-199BD11D0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323850</xdr:colOff>
          <xdr:row>47</xdr:row>
          <xdr:rowOff>222250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7ED63582-BE35-45D4-B7C3-21E19F36B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48</xdr:row>
          <xdr:rowOff>69850</xdr:rowOff>
        </xdr:from>
        <xdr:to>
          <xdr:col>1</xdr:col>
          <xdr:colOff>323850</xdr:colOff>
          <xdr:row>48</xdr:row>
          <xdr:rowOff>222250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98179DCE-84D1-4BBE-92C3-A13853C42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323850</xdr:colOff>
          <xdr:row>51</xdr:row>
          <xdr:rowOff>222250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14F52AF1-D6C6-4016-8D53-D16DA2038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323850</xdr:colOff>
          <xdr:row>52</xdr:row>
          <xdr:rowOff>222250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A996B3DC-B72F-43F2-B4F9-0931728E4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323850</xdr:colOff>
          <xdr:row>53</xdr:row>
          <xdr:rowOff>222250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F1AEF130-4CBB-4F37-A216-DF2CB12FF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55</xdr:row>
          <xdr:rowOff>69850</xdr:rowOff>
        </xdr:from>
        <xdr:to>
          <xdr:col>1</xdr:col>
          <xdr:colOff>323850</xdr:colOff>
          <xdr:row>55</xdr:row>
          <xdr:rowOff>222250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41C31D8-6030-4082-9A07-E94117CC33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56</xdr:row>
          <xdr:rowOff>69850</xdr:rowOff>
        </xdr:from>
        <xdr:to>
          <xdr:col>1</xdr:col>
          <xdr:colOff>323850</xdr:colOff>
          <xdr:row>56</xdr:row>
          <xdr:rowOff>222250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F0EAECA6-C299-463C-BB6B-B77456C62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323850</xdr:colOff>
          <xdr:row>57</xdr:row>
          <xdr:rowOff>222250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CB9951A0-6FB7-41D4-AD70-97CFF98A7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323850</xdr:colOff>
          <xdr:row>58</xdr:row>
          <xdr:rowOff>222250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61AE35D5-2A1B-4D0A-A018-0F18C27E7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323850</xdr:colOff>
          <xdr:row>59</xdr:row>
          <xdr:rowOff>222250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DB1A55A3-1313-42F8-806C-1140794A2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323850</xdr:colOff>
          <xdr:row>60</xdr:row>
          <xdr:rowOff>222250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E4BA7F00-5AFC-409D-94EF-ACB9C8DB3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323850</xdr:colOff>
          <xdr:row>15</xdr:row>
          <xdr:rowOff>222250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D3F3E365-447F-4ABB-9466-6B61BE191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323850</xdr:colOff>
          <xdr:row>16</xdr:row>
          <xdr:rowOff>222250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6E539EC5-5E9E-449F-9EC7-DCE707A11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323850</xdr:colOff>
          <xdr:row>19</xdr:row>
          <xdr:rowOff>222250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78334813-3149-460C-88A9-43FEC3B734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69850</xdr:rowOff>
        </xdr:from>
        <xdr:to>
          <xdr:col>2</xdr:col>
          <xdr:colOff>323850</xdr:colOff>
          <xdr:row>20</xdr:row>
          <xdr:rowOff>222250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1150E94F-87DB-4E75-AA27-5870A946B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69850</xdr:rowOff>
        </xdr:from>
        <xdr:to>
          <xdr:col>2</xdr:col>
          <xdr:colOff>323850</xdr:colOff>
          <xdr:row>21</xdr:row>
          <xdr:rowOff>222250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793E99EC-54CC-4227-A89E-2265BFF02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323850</xdr:colOff>
          <xdr:row>22</xdr:row>
          <xdr:rowOff>222250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152B8682-C9A7-4CC9-8ECE-688AA3044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323850</xdr:colOff>
          <xdr:row>24</xdr:row>
          <xdr:rowOff>222250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320C43BD-88D1-4A98-98E4-EE902C789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27</xdr:row>
          <xdr:rowOff>69850</xdr:rowOff>
        </xdr:from>
        <xdr:to>
          <xdr:col>2</xdr:col>
          <xdr:colOff>323850</xdr:colOff>
          <xdr:row>27</xdr:row>
          <xdr:rowOff>222250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B0FBF75D-58F2-4EE7-B845-56FAF65676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28</xdr:row>
          <xdr:rowOff>69850</xdr:rowOff>
        </xdr:from>
        <xdr:to>
          <xdr:col>2</xdr:col>
          <xdr:colOff>323850</xdr:colOff>
          <xdr:row>28</xdr:row>
          <xdr:rowOff>222250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393D53E0-5AF1-406C-8967-E78570210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323850</xdr:colOff>
          <xdr:row>29</xdr:row>
          <xdr:rowOff>222250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3649E2C1-8AF1-4E56-A08F-B7FF4F843C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323850</xdr:colOff>
          <xdr:row>31</xdr:row>
          <xdr:rowOff>222250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9E24F4AC-6FB6-48CB-ACEE-7AB45718C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323850</xdr:colOff>
          <xdr:row>32</xdr:row>
          <xdr:rowOff>222250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AF9F9E71-3682-4109-977F-42DD9FAD1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323850</xdr:colOff>
          <xdr:row>33</xdr:row>
          <xdr:rowOff>222250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BCEE87A6-EFBA-4C8F-B7AC-489D14A4B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34</xdr:row>
          <xdr:rowOff>69850</xdr:rowOff>
        </xdr:from>
        <xdr:to>
          <xdr:col>2</xdr:col>
          <xdr:colOff>323850</xdr:colOff>
          <xdr:row>34</xdr:row>
          <xdr:rowOff>222250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B615074E-DEE3-48FF-8974-96697B90B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323850</xdr:colOff>
          <xdr:row>36</xdr:row>
          <xdr:rowOff>222250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9C01F2DD-7A6E-43D3-BED1-879B6A03A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323850</xdr:colOff>
          <xdr:row>39</xdr:row>
          <xdr:rowOff>222250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95DEA3D5-4782-4304-9672-ADCB53E0B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323850</xdr:colOff>
          <xdr:row>40</xdr:row>
          <xdr:rowOff>222250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C453718A-7EC6-4E4D-A237-DA42A4426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41</xdr:row>
          <xdr:rowOff>69850</xdr:rowOff>
        </xdr:from>
        <xdr:to>
          <xdr:col>2</xdr:col>
          <xdr:colOff>323850</xdr:colOff>
          <xdr:row>41</xdr:row>
          <xdr:rowOff>222250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743B25B6-6EEA-4AF7-9C82-D57EF9F90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323850</xdr:colOff>
          <xdr:row>43</xdr:row>
          <xdr:rowOff>222250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32B85F9A-0357-4AE8-9809-56B453AD9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323850</xdr:colOff>
          <xdr:row>44</xdr:row>
          <xdr:rowOff>222250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22CFDFCA-0FCA-44F8-B5C3-3F7B4C9FA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323850</xdr:colOff>
          <xdr:row>45</xdr:row>
          <xdr:rowOff>222250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6DC8D23C-2A1D-47FE-9B06-F7960C77E6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323850</xdr:colOff>
          <xdr:row>46</xdr:row>
          <xdr:rowOff>222250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F58997AA-1981-47D1-B7A0-69A943FE6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323850</xdr:colOff>
          <xdr:row>47</xdr:row>
          <xdr:rowOff>222250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9DE5B55B-71AD-48F8-965E-7B3244A88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48</xdr:row>
          <xdr:rowOff>69850</xdr:rowOff>
        </xdr:from>
        <xdr:to>
          <xdr:col>2</xdr:col>
          <xdr:colOff>323850</xdr:colOff>
          <xdr:row>48</xdr:row>
          <xdr:rowOff>222250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5B2E8C14-12E7-44EE-A4BD-EA2A8153CB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323850</xdr:colOff>
          <xdr:row>51</xdr:row>
          <xdr:rowOff>222250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A9DAF27D-EB64-4AAA-AEE2-6892C02A0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323850</xdr:colOff>
          <xdr:row>52</xdr:row>
          <xdr:rowOff>222250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EDF2F4F0-DE45-47E3-9B5F-14A4C4DBF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323850</xdr:colOff>
          <xdr:row>53</xdr:row>
          <xdr:rowOff>222250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4D9D6191-BEF7-47D5-99E0-423D7453B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55</xdr:row>
          <xdr:rowOff>69850</xdr:rowOff>
        </xdr:from>
        <xdr:to>
          <xdr:col>2</xdr:col>
          <xdr:colOff>323850</xdr:colOff>
          <xdr:row>55</xdr:row>
          <xdr:rowOff>222250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1C3AF82A-F445-4D1A-9075-23A9F0B75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56</xdr:row>
          <xdr:rowOff>69850</xdr:rowOff>
        </xdr:from>
        <xdr:to>
          <xdr:col>2</xdr:col>
          <xdr:colOff>323850</xdr:colOff>
          <xdr:row>56</xdr:row>
          <xdr:rowOff>222250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7D051970-2081-4AB3-9A57-7166090863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323850</xdr:colOff>
          <xdr:row>57</xdr:row>
          <xdr:rowOff>222250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F1239C92-7D18-49D1-A572-1293BBF7E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323850</xdr:colOff>
          <xdr:row>58</xdr:row>
          <xdr:rowOff>222250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92AACE46-C180-4F01-ACEE-84504D88B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323850</xdr:colOff>
          <xdr:row>59</xdr:row>
          <xdr:rowOff>222250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F264379-99B3-442B-B9EA-C05104F3C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323850</xdr:colOff>
          <xdr:row>60</xdr:row>
          <xdr:rowOff>222250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E6419A81-A308-4348-918F-97D50BFCC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2</xdr:col>
      <xdr:colOff>607</xdr:colOff>
      <xdr:row>4</xdr:row>
      <xdr:rowOff>34290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C8C9166-C036-44D7-A4CE-CE43E4CD3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8157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69" name="Picture 23">
          <a:extLst>
            <a:ext uri="{FF2B5EF4-FFF2-40B4-BE49-F238E27FC236}">
              <a16:creationId xmlns:a16="http://schemas.microsoft.com/office/drawing/2014/main" id="{F5831AF0-5C66-4A59-B9C6-0A015072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247650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40988D11-70B3-4FA9-9FCB-38C8104FC2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323850</xdr:colOff>
          <xdr:row>18</xdr:row>
          <xdr:rowOff>222250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8B289A9F-77BE-4471-A24C-4F30B574B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317500</xdr:colOff>
          <xdr:row>17</xdr:row>
          <xdr:rowOff>260350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C94C7FC7-9E6D-439E-AF39-41FBC5DB2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323850</xdr:colOff>
          <xdr:row>17</xdr:row>
          <xdr:rowOff>222250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483F7A58-6110-4B44-B125-6CB6243AB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323850</xdr:colOff>
          <xdr:row>23</xdr:row>
          <xdr:rowOff>241300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302F90F6-E6A5-4841-97F7-C3E7AE5C8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323850</xdr:colOff>
          <xdr:row>23</xdr:row>
          <xdr:rowOff>222250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3C76A470-E8DB-4DE9-94A2-06C6C7278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323850</xdr:colOff>
          <xdr:row>30</xdr:row>
          <xdr:rowOff>222250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E1789D89-4FC2-429C-9127-7643EF12C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323850</xdr:colOff>
          <xdr:row>30</xdr:row>
          <xdr:rowOff>222250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2C6AF363-FE84-4B7B-8E6E-BBD7EA6A1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35</xdr:row>
          <xdr:rowOff>69850</xdr:rowOff>
        </xdr:from>
        <xdr:to>
          <xdr:col>1</xdr:col>
          <xdr:colOff>323850</xdr:colOff>
          <xdr:row>35</xdr:row>
          <xdr:rowOff>222250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7A76A559-4A0D-470D-9E8F-20A39C3F0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35</xdr:row>
          <xdr:rowOff>69850</xdr:rowOff>
        </xdr:from>
        <xdr:to>
          <xdr:col>2</xdr:col>
          <xdr:colOff>323850</xdr:colOff>
          <xdr:row>35</xdr:row>
          <xdr:rowOff>222250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326203AF-7020-481B-B029-346C786F2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69850</xdr:rowOff>
        </xdr:from>
        <xdr:to>
          <xdr:col>1</xdr:col>
          <xdr:colOff>323850</xdr:colOff>
          <xdr:row>42</xdr:row>
          <xdr:rowOff>222250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4C83D06F-185B-44D1-8CCC-6D710140D1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69850</xdr:rowOff>
        </xdr:from>
        <xdr:to>
          <xdr:col>2</xdr:col>
          <xdr:colOff>323850</xdr:colOff>
          <xdr:row>42</xdr:row>
          <xdr:rowOff>222250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EC887A68-9578-4C6A-8F32-4FB0F34BB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323850</xdr:colOff>
          <xdr:row>54</xdr:row>
          <xdr:rowOff>222250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5D45067E-7DA5-44A0-8DC7-456E6D35D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323850</xdr:colOff>
          <xdr:row>54</xdr:row>
          <xdr:rowOff>222250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1043A956-F384-4B07-AA56-94724751D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63</xdr:row>
          <xdr:rowOff>69850</xdr:rowOff>
        </xdr:from>
        <xdr:to>
          <xdr:col>1</xdr:col>
          <xdr:colOff>323850</xdr:colOff>
          <xdr:row>63</xdr:row>
          <xdr:rowOff>222250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C6C0BFF-922B-48CA-AEDD-D82C1E2B3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323850</xdr:colOff>
          <xdr:row>64</xdr:row>
          <xdr:rowOff>222250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AC361422-AACE-4210-9836-31FD7EC1B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323850</xdr:colOff>
          <xdr:row>65</xdr:row>
          <xdr:rowOff>222250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C4392606-C4E7-48BA-AC81-63898F6C42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323850</xdr:colOff>
          <xdr:row>67</xdr:row>
          <xdr:rowOff>222250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D54CF36-8A06-4053-B846-720EE567A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323850</xdr:colOff>
          <xdr:row>68</xdr:row>
          <xdr:rowOff>222250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6A39C1AC-2E98-431E-9D17-52A843777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69</xdr:row>
          <xdr:rowOff>69850</xdr:rowOff>
        </xdr:from>
        <xdr:to>
          <xdr:col>1</xdr:col>
          <xdr:colOff>323850</xdr:colOff>
          <xdr:row>69</xdr:row>
          <xdr:rowOff>222250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55B3E399-8411-4C7A-88A6-AAE6D00EAA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70</xdr:row>
          <xdr:rowOff>69850</xdr:rowOff>
        </xdr:from>
        <xdr:to>
          <xdr:col>1</xdr:col>
          <xdr:colOff>323850</xdr:colOff>
          <xdr:row>70</xdr:row>
          <xdr:rowOff>222250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84250FDD-63C9-46E6-B886-39047884A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323850</xdr:colOff>
          <xdr:row>71</xdr:row>
          <xdr:rowOff>222250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A63C3F92-BB98-4DE4-8BC7-B57F86BD2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323850</xdr:colOff>
          <xdr:row>72</xdr:row>
          <xdr:rowOff>222250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660C32FA-1542-4DF3-84C4-31ACF5295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69850</xdr:rowOff>
        </xdr:from>
        <xdr:to>
          <xdr:col>2</xdr:col>
          <xdr:colOff>323850</xdr:colOff>
          <xdr:row>63</xdr:row>
          <xdr:rowOff>222250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8E75E29E-A83B-42EB-B7F9-9FC986125F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323850</xdr:colOff>
          <xdr:row>64</xdr:row>
          <xdr:rowOff>222250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72F62946-6584-4042-B719-89B99E788C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323850</xdr:colOff>
          <xdr:row>65</xdr:row>
          <xdr:rowOff>222250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19C3AB91-CC4B-4484-86BD-4E9A5315A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323850</xdr:colOff>
          <xdr:row>67</xdr:row>
          <xdr:rowOff>222250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EEBA954C-1B60-440B-B747-828DB8A401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323850</xdr:colOff>
          <xdr:row>68</xdr:row>
          <xdr:rowOff>222250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14BF0B9C-CE0D-4846-B884-9FEECB7FF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69</xdr:row>
          <xdr:rowOff>69850</xdr:rowOff>
        </xdr:from>
        <xdr:to>
          <xdr:col>2</xdr:col>
          <xdr:colOff>323850</xdr:colOff>
          <xdr:row>69</xdr:row>
          <xdr:rowOff>222250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748860C8-14C0-40DE-8042-818BF456A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70</xdr:row>
          <xdr:rowOff>69850</xdr:rowOff>
        </xdr:from>
        <xdr:to>
          <xdr:col>2</xdr:col>
          <xdr:colOff>323850</xdr:colOff>
          <xdr:row>70</xdr:row>
          <xdr:rowOff>222250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5DF55115-9C04-4C2C-8052-F0E452665A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323850</xdr:colOff>
          <xdr:row>71</xdr:row>
          <xdr:rowOff>222250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47C7ACB6-79EA-410D-9DA7-4BC7A730AC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323850</xdr:colOff>
          <xdr:row>72</xdr:row>
          <xdr:rowOff>222250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530DB867-7B6B-4BF3-A996-DC129789A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323850</xdr:colOff>
          <xdr:row>66</xdr:row>
          <xdr:rowOff>222250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4AE6DBCA-4805-4557-BD7A-7E5208372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323850</xdr:colOff>
          <xdr:row>66</xdr:row>
          <xdr:rowOff>222250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46631009-3D5D-4C47-AD23-0A338DAFC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323850</xdr:colOff>
          <xdr:row>15</xdr:row>
          <xdr:rowOff>222250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C3B070BF-F632-4D4A-AA10-B66C75F12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317500</xdr:colOff>
          <xdr:row>16</xdr:row>
          <xdr:rowOff>260350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F20CD160-F384-4278-BBC7-3105F010A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EB42F745-A01C-4132-8CCD-455A0AF4CE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69850</xdr:rowOff>
        </xdr:from>
        <xdr:to>
          <xdr:col>1</xdr:col>
          <xdr:colOff>298450</xdr:colOff>
          <xdr:row>20</xdr:row>
          <xdr:rowOff>222250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52AD9D1-E8D0-4C93-BB1A-EBA06A41C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21</xdr:row>
          <xdr:rowOff>69850</xdr:rowOff>
        </xdr:from>
        <xdr:to>
          <xdr:col>1</xdr:col>
          <xdr:colOff>279400</xdr:colOff>
          <xdr:row>21</xdr:row>
          <xdr:rowOff>241300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637565AB-70F3-4B8A-9B05-5E363D004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323850</xdr:colOff>
          <xdr:row>22</xdr:row>
          <xdr:rowOff>241300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5CCD5391-9485-4B0A-98C9-E7D33772A3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298450</xdr:colOff>
          <xdr:row>24</xdr:row>
          <xdr:rowOff>228600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C29FF8DB-28B8-4B18-9E9E-756E76692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27</xdr:row>
          <xdr:rowOff>69850</xdr:rowOff>
        </xdr:from>
        <xdr:to>
          <xdr:col>1</xdr:col>
          <xdr:colOff>323850</xdr:colOff>
          <xdr:row>27</xdr:row>
          <xdr:rowOff>222250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9C03CD32-8F57-4850-8581-A9F97B786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69850</xdr:rowOff>
        </xdr:from>
        <xdr:to>
          <xdr:col>1</xdr:col>
          <xdr:colOff>323850</xdr:colOff>
          <xdr:row>28</xdr:row>
          <xdr:rowOff>222250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B1EA0E8F-CC84-4019-AAB2-FA2AE7F33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323850</xdr:colOff>
          <xdr:row>29</xdr:row>
          <xdr:rowOff>222250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7B71C12F-AE8D-4251-B800-E27BD3B32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323850</xdr:colOff>
          <xdr:row>31</xdr:row>
          <xdr:rowOff>222250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805D72E6-8F4E-4B34-B65C-780979140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323850</xdr:colOff>
          <xdr:row>32</xdr:row>
          <xdr:rowOff>222250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6D42DF19-1A64-4054-8146-CDAF06083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323850</xdr:colOff>
          <xdr:row>33</xdr:row>
          <xdr:rowOff>222250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6C10FDB4-9C3D-45AC-B3E5-BE1030C46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69850</xdr:rowOff>
        </xdr:from>
        <xdr:to>
          <xdr:col>1</xdr:col>
          <xdr:colOff>323850</xdr:colOff>
          <xdr:row>34</xdr:row>
          <xdr:rowOff>222250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19A5AFA5-80F8-4E0B-9D27-BEE41058D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323850</xdr:colOff>
          <xdr:row>36</xdr:row>
          <xdr:rowOff>222250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EBF4B880-9BFD-4584-ADEC-5153DFF46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323850</xdr:colOff>
          <xdr:row>39</xdr:row>
          <xdr:rowOff>222250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663309F8-7B6A-439C-B711-D39D30943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323850</xdr:colOff>
          <xdr:row>40</xdr:row>
          <xdr:rowOff>222250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95F55F72-EBA3-4014-BE02-5F2749C53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41</xdr:row>
          <xdr:rowOff>69850</xdr:rowOff>
        </xdr:from>
        <xdr:to>
          <xdr:col>1</xdr:col>
          <xdr:colOff>323850</xdr:colOff>
          <xdr:row>41</xdr:row>
          <xdr:rowOff>222250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1C233EE7-4E42-4EFB-A8D8-6FCD0F413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323850</xdr:colOff>
          <xdr:row>43</xdr:row>
          <xdr:rowOff>222250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F7DA0183-F891-49D4-AEDF-7DD763958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323850</xdr:colOff>
          <xdr:row>44</xdr:row>
          <xdr:rowOff>222250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AAB4EBD8-14B2-48D3-81EF-9CB99C0C5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323850</xdr:colOff>
          <xdr:row>45</xdr:row>
          <xdr:rowOff>222250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470B3AB2-4A60-4A85-AABD-65C7F41E3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323850</xdr:colOff>
          <xdr:row>46</xdr:row>
          <xdr:rowOff>222250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A51286AA-78F3-47BB-8EB1-1041C3355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323850</xdr:colOff>
          <xdr:row>47</xdr:row>
          <xdr:rowOff>222250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605F3ED-9644-49E9-B21B-9C0AE18EA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48</xdr:row>
          <xdr:rowOff>69850</xdr:rowOff>
        </xdr:from>
        <xdr:to>
          <xdr:col>1</xdr:col>
          <xdr:colOff>323850</xdr:colOff>
          <xdr:row>48</xdr:row>
          <xdr:rowOff>222250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5BCC0E8B-42E7-455D-AC81-83768978B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323850</xdr:colOff>
          <xdr:row>51</xdr:row>
          <xdr:rowOff>222250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C6A9634F-ACBC-4350-A419-49B27FB38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323850</xdr:colOff>
          <xdr:row>52</xdr:row>
          <xdr:rowOff>222250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DA05F1A7-E12E-4891-97E4-8F67FE607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323850</xdr:colOff>
          <xdr:row>53</xdr:row>
          <xdr:rowOff>222250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49679C28-D006-4F86-9137-5BFEB64FD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55</xdr:row>
          <xdr:rowOff>69850</xdr:rowOff>
        </xdr:from>
        <xdr:to>
          <xdr:col>1</xdr:col>
          <xdr:colOff>323850</xdr:colOff>
          <xdr:row>55</xdr:row>
          <xdr:rowOff>222250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4033E6EA-875F-4F95-9A1E-C1849C415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56</xdr:row>
          <xdr:rowOff>69850</xdr:rowOff>
        </xdr:from>
        <xdr:to>
          <xdr:col>1</xdr:col>
          <xdr:colOff>323850</xdr:colOff>
          <xdr:row>56</xdr:row>
          <xdr:rowOff>222250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58762FB3-40F3-47C2-9FCE-D37B61A012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323850</xdr:colOff>
          <xdr:row>57</xdr:row>
          <xdr:rowOff>222250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71BA3C63-71FE-43C4-B794-0BB00E6EC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323850</xdr:colOff>
          <xdr:row>58</xdr:row>
          <xdr:rowOff>222250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5A98223F-E667-4440-81EE-A53F8615A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323850</xdr:colOff>
          <xdr:row>59</xdr:row>
          <xdr:rowOff>222250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FA0AE35E-CF83-4A41-B86B-C7F87513A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323850</xdr:colOff>
          <xdr:row>60</xdr:row>
          <xdr:rowOff>222250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8060FDE7-5FAF-47F0-B3F1-04E615712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323850</xdr:colOff>
          <xdr:row>15</xdr:row>
          <xdr:rowOff>222250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6106380-EA45-4CCF-A318-725F60CBBC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323850</xdr:colOff>
          <xdr:row>16</xdr:row>
          <xdr:rowOff>222250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76A71A56-7730-44FF-8FB6-FA7DAC6FB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323850</xdr:colOff>
          <xdr:row>19</xdr:row>
          <xdr:rowOff>222250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7A099CED-EB09-4FA7-8DBD-D07A9CEAC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69850</xdr:rowOff>
        </xdr:from>
        <xdr:to>
          <xdr:col>2</xdr:col>
          <xdr:colOff>323850</xdr:colOff>
          <xdr:row>20</xdr:row>
          <xdr:rowOff>222250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D1C513DB-1A7A-4A24-95E7-B7455405E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69850</xdr:rowOff>
        </xdr:from>
        <xdr:to>
          <xdr:col>2</xdr:col>
          <xdr:colOff>323850</xdr:colOff>
          <xdr:row>21</xdr:row>
          <xdr:rowOff>222250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C34EF66C-3867-4147-9F55-5C4A7886B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323850</xdr:colOff>
          <xdr:row>22</xdr:row>
          <xdr:rowOff>222250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45F93DD8-6AE0-48DC-B653-5AE664416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323850</xdr:colOff>
          <xdr:row>24</xdr:row>
          <xdr:rowOff>222250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FED53229-64F9-427A-8232-7A3584FAF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27</xdr:row>
          <xdr:rowOff>69850</xdr:rowOff>
        </xdr:from>
        <xdr:to>
          <xdr:col>2</xdr:col>
          <xdr:colOff>323850</xdr:colOff>
          <xdr:row>27</xdr:row>
          <xdr:rowOff>222250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5F6C8014-AE96-4EC3-A452-650FC6AC91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28</xdr:row>
          <xdr:rowOff>69850</xdr:rowOff>
        </xdr:from>
        <xdr:to>
          <xdr:col>2</xdr:col>
          <xdr:colOff>323850</xdr:colOff>
          <xdr:row>28</xdr:row>
          <xdr:rowOff>222250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F62208AE-623B-466D-82B7-E6B216373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323850</xdr:colOff>
          <xdr:row>29</xdr:row>
          <xdr:rowOff>222250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9E0CDDE7-9CC8-499D-A40D-1FADB8428F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323850</xdr:colOff>
          <xdr:row>31</xdr:row>
          <xdr:rowOff>222250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B723E699-1708-4088-9BD3-84A501505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323850</xdr:colOff>
          <xdr:row>32</xdr:row>
          <xdr:rowOff>222250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D2D78878-A7D0-482C-BB1D-584596ECC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323850</xdr:colOff>
          <xdr:row>33</xdr:row>
          <xdr:rowOff>222250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56260AF9-18AF-4C96-A5D6-699671394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34</xdr:row>
          <xdr:rowOff>69850</xdr:rowOff>
        </xdr:from>
        <xdr:to>
          <xdr:col>2</xdr:col>
          <xdr:colOff>323850</xdr:colOff>
          <xdr:row>34</xdr:row>
          <xdr:rowOff>222250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88DE63D2-38EA-4BD8-AAAF-4346748C0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323850</xdr:colOff>
          <xdr:row>36</xdr:row>
          <xdr:rowOff>222250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12413600-B607-4A9F-8947-9693636BB5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323850</xdr:colOff>
          <xdr:row>39</xdr:row>
          <xdr:rowOff>222250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3858924C-8F99-47EF-8F5B-6F748339BB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323850</xdr:colOff>
          <xdr:row>40</xdr:row>
          <xdr:rowOff>222250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EBC4C6D6-E638-4415-BEAA-719C47AD5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41</xdr:row>
          <xdr:rowOff>69850</xdr:rowOff>
        </xdr:from>
        <xdr:to>
          <xdr:col>2</xdr:col>
          <xdr:colOff>323850</xdr:colOff>
          <xdr:row>41</xdr:row>
          <xdr:rowOff>222250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7E9EBAF8-A226-4D11-8F03-6439ECAB3E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323850</xdr:colOff>
          <xdr:row>43</xdr:row>
          <xdr:rowOff>222250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9DF48566-0AFE-4FC9-B274-1E95687F6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323850</xdr:colOff>
          <xdr:row>44</xdr:row>
          <xdr:rowOff>222250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AB208031-9662-4343-8FDC-ED220D125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323850</xdr:colOff>
          <xdr:row>45</xdr:row>
          <xdr:rowOff>222250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C100217-9168-4FF7-9368-654B5E5EF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323850</xdr:colOff>
          <xdr:row>46</xdr:row>
          <xdr:rowOff>222250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516D23EF-06E3-483E-8C36-1F3D8B825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323850</xdr:colOff>
          <xdr:row>47</xdr:row>
          <xdr:rowOff>222250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29AEC16D-8B37-47BB-BAC7-F4A75695D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48</xdr:row>
          <xdr:rowOff>69850</xdr:rowOff>
        </xdr:from>
        <xdr:to>
          <xdr:col>2</xdr:col>
          <xdr:colOff>323850</xdr:colOff>
          <xdr:row>48</xdr:row>
          <xdr:rowOff>222250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A9238D45-47F1-4AF6-BEAD-3DAF69F0C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323850</xdr:colOff>
          <xdr:row>51</xdr:row>
          <xdr:rowOff>222250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3C5DBC63-3AC3-494A-A470-EC36F2D27C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323850</xdr:colOff>
          <xdr:row>52</xdr:row>
          <xdr:rowOff>222250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43204A78-30E0-4B37-B1AF-AE80D77B3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323850</xdr:colOff>
          <xdr:row>53</xdr:row>
          <xdr:rowOff>222250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51A7017A-EC75-4383-B6BB-903098ED32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55</xdr:row>
          <xdr:rowOff>69850</xdr:rowOff>
        </xdr:from>
        <xdr:to>
          <xdr:col>2</xdr:col>
          <xdr:colOff>323850</xdr:colOff>
          <xdr:row>55</xdr:row>
          <xdr:rowOff>222250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47CAF8F9-581B-4240-97CD-A33C4A1EE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56</xdr:row>
          <xdr:rowOff>69850</xdr:rowOff>
        </xdr:from>
        <xdr:to>
          <xdr:col>2</xdr:col>
          <xdr:colOff>323850</xdr:colOff>
          <xdr:row>56</xdr:row>
          <xdr:rowOff>222250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426E0EC2-A1A5-4D6D-8E67-D3E0AB023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323850</xdr:colOff>
          <xdr:row>57</xdr:row>
          <xdr:rowOff>222250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1532BCAB-ECC9-4EAB-B3E3-6D03A056C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323850</xdr:colOff>
          <xdr:row>58</xdr:row>
          <xdr:rowOff>222250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2FFF60F7-5179-4FC7-AA27-1DB9430E6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323850</xdr:colOff>
          <xdr:row>59</xdr:row>
          <xdr:rowOff>222250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7C1851CC-A0ED-4376-AE07-FE621DB1DF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323850</xdr:colOff>
          <xdr:row>60</xdr:row>
          <xdr:rowOff>222250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13FD4A1-771A-424A-BE9C-D4B8C22881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2</xdr:col>
      <xdr:colOff>607</xdr:colOff>
      <xdr:row>4</xdr:row>
      <xdr:rowOff>34290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2A99537-D903-486A-879F-41175522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8157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69" name="Picture 23">
          <a:extLst>
            <a:ext uri="{FF2B5EF4-FFF2-40B4-BE49-F238E27FC236}">
              <a16:creationId xmlns:a16="http://schemas.microsoft.com/office/drawing/2014/main" id="{603141B0-EFC9-4746-B1E3-E21A4F9F2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247650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5E460374-4244-4566-9802-B41324A9EE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323850</xdr:colOff>
          <xdr:row>18</xdr:row>
          <xdr:rowOff>222250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6A3B7FF9-81AC-4193-B690-FB518C567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317500</xdr:colOff>
          <xdr:row>17</xdr:row>
          <xdr:rowOff>260350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81FEFFF8-68B3-439F-B8E5-E03495C9B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323850</xdr:colOff>
          <xdr:row>17</xdr:row>
          <xdr:rowOff>222250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9341368D-067F-4CEE-BCCD-91D92CDB1A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323850</xdr:colOff>
          <xdr:row>23</xdr:row>
          <xdr:rowOff>241300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AE25AD17-E164-4DA9-908E-E7A6BBDEC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323850</xdr:colOff>
          <xdr:row>23</xdr:row>
          <xdr:rowOff>222250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D308FB8D-CF46-4F77-8E77-C2D6F43D3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323850</xdr:colOff>
          <xdr:row>30</xdr:row>
          <xdr:rowOff>222250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6EE3A3CC-1280-4C97-9A7F-DA447695A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323850</xdr:colOff>
          <xdr:row>30</xdr:row>
          <xdr:rowOff>222250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7581CA73-AC6B-4F5C-A93F-0D9407BD4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35</xdr:row>
          <xdr:rowOff>69850</xdr:rowOff>
        </xdr:from>
        <xdr:to>
          <xdr:col>1</xdr:col>
          <xdr:colOff>323850</xdr:colOff>
          <xdr:row>35</xdr:row>
          <xdr:rowOff>222250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BBD695B0-A8F5-42E2-8B77-AA351A22F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35</xdr:row>
          <xdr:rowOff>69850</xdr:rowOff>
        </xdr:from>
        <xdr:to>
          <xdr:col>2</xdr:col>
          <xdr:colOff>323850</xdr:colOff>
          <xdr:row>35</xdr:row>
          <xdr:rowOff>222250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97EDAB8-3306-42EE-84E5-306FDF6D9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69850</xdr:rowOff>
        </xdr:from>
        <xdr:to>
          <xdr:col>1</xdr:col>
          <xdr:colOff>323850</xdr:colOff>
          <xdr:row>42</xdr:row>
          <xdr:rowOff>222250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1BDA2F99-D970-4CEE-A681-DF745BFC7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69850</xdr:rowOff>
        </xdr:from>
        <xdr:to>
          <xdr:col>2</xdr:col>
          <xdr:colOff>323850</xdr:colOff>
          <xdr:row>42</xdr:row>
          <xdr:rowOff>222250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6333E5D2-9410-4B16-AAF4-D7CC814A85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323850</xdr:colOff>
          <xdr:row>54</xdr:row>
          <xdr:rowOff>222250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1A4BF0AB-788A-43F4-9EE0-2909FD9ED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323850</xdr:colOff>
          <xdr:row>54</xdr:row>
          <xdr:rowOff>222250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AA68EE28-18A2-4FA4-9D62-125B65806B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63</xdr:row>
          <xdr:rowOff>69850</xdr:rowOff>
        </xdr:from>
        <xdr:to>
          <xdr:col>1</xdr:col>
          <xdr:colOff>323850</xdr:colOff>
          <xdr:row>63</xdr:row>
          <xdr:rowOff>222250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51E31F79-13E1-40CB-B008-0EB134684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323850</xdr:colOff>
          <xdr:row>64</xdr:row>
          <xdr:rowOff>222250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88E4B407-E4A3-4EA0-94C3-E482F8639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323850</xdr:colOff>
          <xdr:row>65</xdr:row>
          <xdr:rowOff>222250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50398050-FB81-4B34-B412-78FDB3DD2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323850</xdr:colOff>
          <xdr:row>67</xdr:row>
          <xdr:rowOff>222250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90F78A8B-746D-48AC-8ECF-EFEE1C184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323850</xdr:colOff>
          <xdr:row>68</xdr:row>
          <xdr:rowOff>222250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45786F78-0EAD-4D9E-9325-8873B7E99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69</xdr:row>
          <xdr:rowOff>69850</xdr:rowOff>
        </xdr:from>
        <xdr:to>
          <xdr:col>1</xdr:col>
          <xdr:colOff>323850</xdr:colOff>
          <xdr:row>69</xdr:row>
          <xdr:rowOff>222250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4AF39424-D84A-4E56-9F94-62CCC70FE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70</xdr:row>
          <xdr:rowOff>69850</xdr:rowOff>
        </xdr:from>
        <xdr:to>
          <xdr:col>1</xdr:col>
          <xdr:colOff>323850</xdr:colOff>
          <xdr:row>70</xdr:row>
          <xdr:rowOff>222250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74A1B1C0-5BE2-40F5-A5A7-B7FA149CF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323850</xdr:colOff>
          <xdr:row>71</xdr:row>
          <xdr:rowOff>222250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592CD64B-E6AD-4103-9AF7-9B42C12DC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323850</xdr:colOff>
          <xdr:row>72</xdr:row>
          <xdr:rowOff>222250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9F9E8D21-A49D-41F1-8470-6A0822B88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69850</xdr:rowOff>
        </xdr:from>
        <xdr:to>
          <xdr:col>2</xdr:col>
          <xdr:colOff>323850</xdr:colOff>
          <xdr:row>63</xdr:row>
          <xdr:rowOff>222250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500B213C-66B7-4906-A7C0-3755CF410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323850</xdr:colOff>
          <xdr:row>64</xdr:row>
          <xdr:rowOff>222250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D4A5B347-B10A-444F-9F0F-80ABC809A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323850</xdr:colOff>
          <xdr:row>65</xdr:row>
          <xdr:rowOff>222250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66A4581D-6CCD-41AC-8003-A6362CE61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323850</xdr:colOff>
          <xdr:row>67</xdr:row>
          <xdr:rowOff>222250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3FDAB18C-3C90-4F22-B615-C1924F420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323850</xdr:colOff>
          <xdr:row>68</xdr:row>
          <xdr:rowOff>222250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31897F21-564C-49F1-AF2E-9574A013E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69</xdr:row>
          <xdr:rowOff>69850</xdr:rowOff>
        </xdr:from>
        <xdr:to>
          <xdr:col>2</xdr:col>
          <xdr:colOff>323850</xdr:colOff>
          <xdr:row>69</xdr:row>
          <xdr:rowOff>222250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2B313AFC-7317-4645-AE62-69D6B2636E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70</xdr:row>
          <xdr:rowOff>69850</xdr:rowOff>
        </xdr:from>
        <xdr:to>
          <xdr:col>2</xdr:col>
          <xdr:colOff>323850</xdr:colOff>
          <xdr:row>70</xdr:row>
          <xdr:rowOff>222250</xdr:rowOff>
        </xdr:to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F2EC8F0D-C661-4CAC-92FA-745748F54B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323850</xdr:colOff>
          <xdr:row>71</xdr:row>
          <xdr:rowOff>222250</xdr:rowOff>
        </xdr:to>
        <xdr:sp macro="" textlink="">
          <xdr:nvSpPr>
            <xdr:cNvPr id="4193" name="Check Box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5BFAA850-14F3-400A-AB8F-CA08C62D1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323850</xdr:colOff>
          <xdr:row>72</xdr:row>
          <xdr:rowOff>222250</xdr:rowOff>
        </xdr:to>
        <xdr:sp macro="" textlink="">
          <xdr:nvSpPr>
            <xdr:cNvPr id="4194" name="Check Box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31BC8B2B-46FD-48F7-93FD-07F2EBF4A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323850</xdr:colOff>
          <xdr:row>66</xdr:row>
          <xdr:rowOff>222250</xdr:rowOff>
        </xdr:to>
        <xdr:sp macro="" textlink="">
          <xdr:nvSpPr>
            <xdr:cNvPr id="4195" name="Check Box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9A34D3E5-C8C8-480F-9BFD-EDB11DFC2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323850</xdr:colOff>
          <xdr:row>66</xdr:row>
          <xdr:rowOff>222250</xdr:rowOff>
        </xdr:to>
        <xdr:sp macro="" textlink="">
          <xdr:nvSpPr>
            <xdr:cNvPr id="4196" name="Check Box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9B273242-96FE-4B9B-920A-799118796B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323850</xdr:colOff>
          <xdr:row>15</xdr:row>
          <xdr:rowOff>222250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A04183D4-160B-4EAF-BBF6-A9B6579AF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317500</xdr:colOff>
          <xdr:row>16</xdr:row>
          <xdr:rowOff>260350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B53B003F-D0AB-4D45-BF40-F727E59EF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9ACE01C6-641F-4473-90FE-513B93C84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69850</xdr:rowOff>
        </xdr:from>
        <xdr:to>
          <xdr:col>1</xdr:col>
          <xdr:colOff>298450</xdr:colOff>
          <xdr:row>20</xdr:row>
          <xdr:rowOff>222250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EC0757B6-0E68-4A07-950D-0059C47E0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21</xdr:row>
          <xdr:rowOff>69850</xdr:rowOff>
        </xdr:from>
        <xdr:to>
          <xdr:col>1</xdr:col>
          <xdr:colOff>279400</xdr:colOff>
          <xdr:row>21</xdr:row>
          <xdr:rowOff>241300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EDAE4834-AFDF-4B3D-A877-34694DD04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323850</xdr:colOff>
          <xdr:row>22</xdr:row>
          <xdr:rowOff>241300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D9F39431-D106-4D03-9036-87C61FDAA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298450</xdr:colOff>
          <xdr:row>24</xdr:row>
          <xdr:rowOff>228600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E328006F-1D97-4CFC-853E-29EA93A5F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27</xdr:row>
          <xdr:rowOff>69850</xdr:rowOff>
        </xdr:from>
        <xdr:to>
          <xdr:col>1</xdr:col>
          <xdr:colOff>323850</xdr:colOff>
          <xdr:row>27</xdr:row>
          <xdr:rowOff>222250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FCF2C8D0-0B1A-40EE-8DDF-21B6094D0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69850</xdr:rowOff>
        </xdr:from>
        <xdr:to>
          <xdr:col>1</xdr:col>
          <xdr:colOff>323850</xdr:colOff>
          <xdr:row>28</xdr:row>
          <xdr:rowOff>222250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43DC1C72-768D-44A9-A43B-EE11B8E0E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323850</xdr:colOff>
          <xdr:row>29</xdr:row>
          <xdr:rowOff>222250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7C5477C8-1C43-42EF-A431-F85A28CEF5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323850</xdr:colOff>
          <xdr:row>31</xdr:row>
          <xdr:rowOff>222250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A49D0796-18BC-43B3-826E-0145E98A6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323850</xdr:colOff>
          <xdr:row>32</xdr:row>
          <xdr:rowOff>222250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6832A1B2-57B1-497A-BB44-3ACFC7EAF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323850</xdr:colOff>
          <xdr:row>33</xdr:row>
          <xdr:rowOff>222250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3F713D82-6076-462E-844F-86BCE04F9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69850</xdr:rowOff>
        </xdr:from>
        <xdr:to>
          <xdr:col>1</xdr:col>
          <xdr:colOff>323850</xdr:colOff>
          <xdr:row>34</xdr:row>
          <xdr:rowOff>222250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D3F53B28-3FDB-4279-B0E1-FFE7396E7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323850</xdr:colOff>
          <xdr:row>36</xdr:row>
          <xdr:rowOff>222250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E1471337-B7FD-47CD-AA89-EC66EF38D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323850</xdr:colOff>
          <xdr:row>39</xdr:row>
          <xdr:rowOff>222250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A6B22127-CE42-4CBF-BBB6-CBAF2A17A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323850</xdr:colOff>
          <xdr:row>40</xdr:row>
          <xdr:rowOff>222250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9AA76BE2-8093-46C4-A5F5-F0C6D32AA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41</xdr:row>
          <xdr:rowOff>69850</xdr:rowOff>
        </xdr:from>
        <xdr:to>
          <xdr:col>1</xdr:col>
          <xdr:colOff>323850</xdr:colOff>
          <xdr:row>41</xdr:row>
          <xdr:rowOff>222250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C317D90E-2631-49C6-8099-B48E5B942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323850</xdr:colOff>
          <xdr:row>43</xdr:row>
          <xdr:rowOff>222250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77339D0B-FB90-4CC3-96A0-B499E9E2B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323850</xdr:colOff>
          <xdr:row>44</xdr:row>
          <xdr:rowOff>222250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55F8AC35-0054-44F0-8EC6-EBBB0D74B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323850</xdr:colOff>
          <xdr:row>45</xdr:row>
          <xdr:rowOff>222250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FB535900-9691-4E45-A6FF-AA1FAB7D8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323850</xdr:colOff>
          <xdr:row>46</xdr:row>
          <xdr:rowOff>222250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ED281C0F-DBF4-476A-A301-15BD8ADC4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323850</xdr:colOff>
          <xdr:row>47</xdr:row>
          <xdr:rowOff>222250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9E631A84-40D7-4868-9A71-128E9BD24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48</xdr:row>
          <xdr:rowOff>69850</xdr:rowOff>
        </xdr:from>
        <xdr:to>
          <xdr:col>1</xdr:col>
          <xdr:colOff>323850</xdr:colOff>
          <xdr:row>48</xdr:row>
          <xdr:rowOff>222250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19196C5F-6DEF-4E16-8B07-88CAD78DF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323850</xdr:colOff>
          <xdr:row>51</xdr:row>
          <xdr:rowOff>222250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8292D54F-272A-4F55-8C61-56DBC04D5F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323850</xdr:colOff>
          <xdr:row>52</xdr:row>
          <xdr:rowOff>222250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A44B0E93-113B-448B-B4D2-5921F4F502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323850</xdr:colOff>
          <xdr:row>53</xdr:row>
          <xdr:rowOff>222250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63D76951-7F81-4465-B3DC-C1594C6E4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55</xdr:row>
          <xdr:rowOff>69850</xdr:rowOff>
        </xdr:from>
        <xdr:to>
          <xdr:col>1</xdr:col>
          <xdr:colOff>323850</xdr:colOff>
          <xdr:row>55</xdr:row>
          <xdr:rowOff>222250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5471B089-AF2F-4D98-8BCF-A4D4BCB8AD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56</xdr:row>
          <xdr:rowOff>69850</xdr:rowOff>
        </xdr:from>
        <xdr:to>
          <xdr:col>1</xdr:col>
          <xdr:colOff>323850</xdr:colOff>
          <xdr:row>56</xdr:row>
          <xdr:rowOff>222250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2627F96E-E668-43EC-A6CF-40D37789A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323850</xdr:colOff>
          <xdr:row>57</xdr:row>
          <xdr:rowOff>222250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99B488BF-3597-41DD-8E53-11504D8521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323850</xdr:colOff>
          <xdr:row>58</xdr:row>
          <xdr:rowOff>222250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80F95D5E-B9B6-40D7-ABC0-486B440D6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323850</xdr:colOff>
          <xdr:row>59</xdr:row>
          <xdr:rowOff>222250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C0D68C87-5488-4C90-8388-F94715C00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323850</xdr:colOff>
          <xdr:row>60</xdr:row>
          <xdr:rowOff>222250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9A37C0A5-F259-43BC-9047-074D54C16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323850</xdr:colOff>
          <xdr:row>15</xdr:row>
          <xdr:rowOff>222250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56805444-B35E-4EF4-8AA4-37F691290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323850</xdr:colOff>
          <xdr:row>16</xdr:row>
          <xdr:rowOff>222250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1D0F455-DCD5-4F55-B2D1-ED2A619AB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323850</xdr:colOff>
          <xdr:row>19</xdr:row>
          <xdr:rowOff>222250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A84045D1-80A1-4103-B1A3-2939A6B67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69850</xdr:rowOff>
        </xdr:from>
        <xdr:to>
          <xdr:col>2</xdr:col>
          <xdr:colOff>323850</xdr:colOff>
          <xdr:row>20</xdr:row>
          <xdr:rowOff>222250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4F493BFE-20BD-4B28-A440-00C10C96D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69850</xdr:rowOff>
        </xdr:from>
        <xdr:to>
          <xdr:col>2</xdr:col>
          <xdr:colOff>323850</xdr:colOff>
          <xdr:row>21</xdr:row>
          <xdr:rowOff>222250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788A48F9-AF37-48B1-B1D4-B03F65C07C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323850</xdr:colOff>
          <xdr:row>22</xdr:row>
          <xdr:rowOff>222250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4C90C2ED-2BB2-4CD0-B854-93BD384DD9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323850</xdr:colOff>
          <xdr:row>24</xdr:row>
          <xdr:rowOff>222250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C9EAD555-3273-4A67-BC21-14BC98BB8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27</xdr:row>
          <xdr:rowOff>69850</xdr:rowOff>
        </xdr:from>
        <xdr:to>
          <xdr:col>2</xdr:col>
          <xdr:colOff>323850</xdr:colOff>
          <xdr:row>27</xdr:row>
          <xdr:rowOff>222250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E2294E42-7CA3-4E11-B0F3-4650B82270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28</xdr:row>
          <xdr:rowOff>69850</xdr:rowOff>
        </xdr:from>
        <xdr:to>
          <xdr:col>2</xdr:col>
          <xdr:colOff>323850</xdr:colOff>
          <xdr:row>28</xdr:row>
          <xdr:rowOff>222250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BFC8568D-C88D-4370-84DD-6C06D0734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323850</xdr:colOff>
          <xdr:row>29</xdr:row>
          <xdr:rowOff>222250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60A39025-A2E3-4E6F-A8F6-AC9724905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323850</xdr:colOff>
          <xdr:row>31</xdr:row>
          <xdr:rowOff>222250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76A1DBFA-3BB8-4BA0-8D18-FDC221FC1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323850</xdr:colOff>
          <xdr:row>32</xdr:row>
          <xdr:rowOff>222250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847BFF78-2E9C-4E9A-9A08-139AF4A76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323850</xdr:colOff>
          <xdr:row>33</xdr:row>
          <xdr:rowOff>222250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7998988E-C77C-4D76-A377-619285EAB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34</xdr:row>
          <xdr:rowOff>69850</xdr:rowOff>
        </xdr:from>
        <xdr:to>
          <xdr:col>2</xdr:col>
          <xdr:colOff>323850</xdr:colOff>
          <xdr:row>34</xdr:row>
          <xdr:rowOff>222250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F7AEC6D7-2FEB-4224-A7FC-39E7497A3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323850</xdr:colOff>
          <xdr:row>36</xdr:row>
          <xdr:rowOff>222250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C860A051-C7F2-4FD7-9B63-301E589109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323850</xdr:colOff>
          <xdr:row>39</xdr:row>
          <xdr:rowOff>222250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51520D6B-54CE-45E4-A2AD-28B0573FC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323850</xdr:colOff>
          <xdr:row>40</xdr:row>
          <xdr:rowOff>222250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B7B547F4-D3BD-4853-B164-73A70B988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41</xdr:row>
          <xdr:rowOff>69850</xdr:rowOff>
        </xdr:from>
        <xdr:to>
          <xdr:col>2</xdr:col>
          <xdr:colOff>323850</xdr:colOff>
          <xdr:row>41</xdr:row>
          <xdr:rowOff>222250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1A453844-7040-4E7B-AB90-250A4E310A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323850</xdr:colOff>
          <xdr:row>43</xdr:row>
          <xdr:rowOff>222250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F47D11C0-40F1-4D6A-8452-ECDCF088F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323850</xdr:colOff>
          <xdr:row>44</xdr:row>
          <xdr:rowOff>222250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F892DFB0-B281-4002-A0E4-BF30B6A54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323850</xdr:colOff>
          <xdr:row>45</xdr:row>
          <xdr:rowOff>222250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8863B8A8-338F-49B2-9214-E34753246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323850</xdr:colOff>
          <xdr:row>46</xdr:row>
          <xdr:rowOff>222250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BE04762-BA26-4C70-9BF4-3DD41883A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323850</xdr:colOff>
          <xdr:row>47</xdr:row>
          <xdr:rowOff>222250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73EC363E-3AD3-4D37-9D80-2D179144F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48</xdr:row>
          <xdr:rowOff>69850</xdr:rowOff>
        </xdr:from>
        <xdr:to>
          <xdr:col>2</xdr:col>
          <xdr:colOff>323850</xdr:colOff>
          <xdr:row>48</xdr:row>
          <xdr:rowOff>222250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407AFD65-7990-4A00-B73E-4C7676393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323850</xdr:colOff>
          <xdr:row>51</xdr:row>
          <xdr:rowOff>222250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D61F4126-7795-4BE2-9D28-6D009D98E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323850</xdr:colOff>
          <xdr:row>52</xdr:row>
          <xdr:rowOff>222250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8870B0F0-C856-4F22-A434-4C355A5B0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323850</xdr:colOff>
          <xdr:row>53</xdr:row>
          <xdr:rowOff>222250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B2D56FFE-BD5C-4812-86DB-15220B39A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55</xdr:row>
          <xdr:rowOff>69850</xdr:rowOff>
        </xdr:from>
        <xdr:to>
          <xdr:col>2</xdr:col>
          <xdr:colOff>323850</xdr:colOff>
          <xdr:row>55</xdr:row>
          <xdr:rowOff>222250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C562AE3E-5BC9-44C3-8F7E-EFEF2A61C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56</xdr:row>
          <xdr:rowOff>69850</xdr:rowOff>
        </xdr:from>
        <xdr:to>
          <xdr:col>2</xdr:col>
          <xdr:colOff>323850</xdr:colOff>
          <xdr:row>56</xdr:row>
          <xdr:rowOff>222250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4D9EBD73-3861-4A98-9C7A-142F0B848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323850</xdr:colOff>
          <xdr:row>57</xdr:row>
          <xdr:rowOff>222250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7C61251D-3A79-435C-9F9D-3087BE0890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323850</xdr:colOff>
          <xdr:row>58</xdr:row>
          <xdr:rowOff>222250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84E52569-5FD5-457A-BAEE-6A356D3E1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323850</xdr:colOff>
          <xdr:row>59</xdr:row>
          <xdr:rowOff>222250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7513C430-9CBB-43D4-ACE4-09DB94C66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323850</xdr:colOff>
          <xdr:row>60</xdr:row>
          <xdr:rowOff>222250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84300684-903D-44EE-ACA6-1D684FC9F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2</xdr:col>
      <xdr:colOff>607</xdr:colOff>
      <xdr:row>4</xdr:row>
      <xdr:rowOff>34290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3C3B6AF6-BC8A-4637-93C1-DD718812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8157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69" name="Picture 23">
          <a:extLst>
            <a:ext uri="{FF2B5EF4-FFF2-40B4-BE49-F238E27FC236}">
              <a16:creationId xmlns:a16="http://schemas.microsoft.com/office/drawing/2014/main" id="{B633A60E-3706-4863-94E9-A49DA3C8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247650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E44C920F-18FD-4AFF-922E-108EE92D8C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323850</xdr:colOff>
          <xdr:row>18</xdr:row>
          <xdr:rowOff>222250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DC2DA50E-99FC-4DF6-BEBC-7B106FE9B0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317500</xdr:colOff>
          <xdr:row>17</xdr:row>
          <xdr:rowOff>260350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682DD4AE-16C1-461F-B87B-FA74E97E4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323850</xdr:colOff>
          <xdr:row>17</xdr:row>
          <xdr:rowOff>222250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2AE4A38A-5FED-4CA3-9758-C13CE53EB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323850</xdr:colOff>
          <xdr:row>23</xdr:row>
          <xdr:rowOff>241300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A3FAC20A-CBBA-4C5C-84D9-F3ACE48EB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323850</xdr:colOff>
          <xdr:row>23</xdr:row>
          <xdr:rowOff>222250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E489C6AC-4BDA-4BD2-AB88-F55048616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323850</xdr:colOff>
          <xdr:row>30</xdr:row>
          <xdr:rowOff>222250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C86DB2E6-18D6-4943-9F7B-5597CF94E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323850</xdr:colOff>
          <xdr:row>30</xdr:row>
          <xdr:rowOff>222250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AC7CC4FD-05E1-4AB2-A250-3F4A3626C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35</xdr:row>
          <xdr:rowOff>69850</xdr:rowOff>
        </xdr:from>
        <xdr:to>
          <xdr:col>1</xdr:col>
          <xdr:colOff>323850</xdr:colOff>
          <xdr:row>35</xdr:row>
          <xdr:rowOff>222250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DF797E4B-9021-42D2-93C4-04A9AA2316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35</xdr:row>
          <xdr:rowOff>69850</xdr:rowOff>
        </xdr:from>
        <xdr:to>
          <xdr:col>2</xdr:col>
          <xdr:colOff>323850</xdr:colOff>
          <xdr:row>35</xdr:row>
          <xdr:rowOff>222250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3C50F570-0898-4311-B2FB-FBBE2E43C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69850</xdr:rowOff>
        </xdr:from>
        <xdr:to>
          <xdr:col>1</xdr:col>
          <xdr:colOff>323850</xdr:colOff>
          <xdr:row>42</xdr:row>
          <xdr:rowOff>222250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49FED5E5-5750-474B-BB07-5D6E02450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69850</xdr:rowOff>
        </xdr:from>
        <xdr:to>
          <xdr:col>2</xdr:col>
          <xdr:colOff>323850</xdr:colOff>
          <xdr:row>42</xdr:row>
          <xdr:rowOff>222250</xdr:rowOff>
        </xdr:to>
        <xdr:sp macro="" textlink="">
          <xdr:nvSpPr>
            <xdr:cNvPr id="5198" name="Check Box 78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20CA831E-AE17-4E03-91F6-B9E86D726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323850</xdr:colOff>
          <xdr:row>54</xdr:row>
          <xdr:rowOff>222250</xdr:rowOff>
        </xdr:to>
        <xdr:sp macro="" textlink="">
          <xdr:nvSpPr>
            <xdr:cNvPr id="5199" name="Check Box 79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B0B7F208-98A1-418C-92DE-109FFB354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323850</xdr:colOff>
          <xdr:row>54</xdr:row>
          <xdr:rowOff>222250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46D7384D-A728-44AD-BDC5-D90C1556D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63</xdr:row>
          <xdr:rowOff>69850</xdr:rowOff>
        </xdr:from>
        <xdr:to>
          <xdr:col>1</xdr:col>
          <xdr:colOff>323850</xdr:colOff>
          <xdr:row>63</xdr:row>
          <xdr:rowOff>222250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5FC38CBF-DC47-4C57-80F7-C6F5022BF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323850</xdr:colOff>
          <xdr:row>64</xdr:row>
          <xdr:rowOff>222250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D45E76E-2ED2-4241-9726-12A5EA9C2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323850</xdr:colOff>
          <xdr:row>65</xdr:row>
          <xdr:rowOff>222250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CFA9A6F8-B40E-42A1-B732-CC04723B2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323850</xdr:colOff>
          <xdr:row>67</xdr:row>
          <xdr:rowOff>222250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694CE90C-1BC6-4F7C-B40F-A7177AC77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323850</xdr:colOff>
          <xdr:row>68</xdr:row>
          <xdr:rowOff>222250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AB4186F2-E67C-4D50-982E-FF18E6FB2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69</xdr:row>
          <xdr:rowOff>69850</xdr:rowOff>
        </xdr:from>
        <xdr:to>
          <xdr:col>1</xdr:col>
          <xdr:colOff>323850</xdr:colOff>
          <xdr:row>69</xdr:row>
          <xdr:rowOff>222250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67E55F57-C18A-4576-96E1-0B4AABA6C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70</xdr:row>
          <xdr:rowOff>69850</xdr:rowOff>
        </xdr:from>
        <xdr:to>
          <xdr:col>1</xdr:col>
          <xdr:colOff>323850</xdr:colOff>
          <xdr:row>70</xdr:row>
          <xdr:rowOff>222250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5CC97C68-06AD-44AD-8C13-82927F6063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323850</xdr:colOff>
          <xdr:row>71</xdr:row>
          <xdr:rowOff>222250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2D356B94-B621-4B02-9D5B-380FFB6FB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323850</xdr:colOff>
          <xdr:row>72</xdr:row>
          <xdr:rowOff>222250</xdr:rowOff>
        </xdr:to>
        <xdr:sp macro="" textlink="">
          <xdr:nvSpPr>
            <xdr:cNvPr id="5209" name="Check Box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F4D8D7A7-E8B3-4127-8380-7F3A9071B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69850</xdr:rowOff>
        </xdr:from>
        <xdr:to>
          <xdr:col>2</xdr:col>
          <xdr:colOff>323850</xdr:colOff>
          <xdr:row>63</xdr:row>
          <xdr:rowOff>222250</xdr:rowOff>
        </xdr:to>
        <xdr:sp macro="" textlink="">
          <xdr:nvSpPr>
            <xdr:cNvPr id="5210" name="Check Box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C9EFF800-8228-4635-BA7A-DEB7D2FD5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323850</xdr:colOff>
          <xdr:row>64</xdr:row>
          <xdr:rowOff>222250</xdr:rowOff>
        </xdr:to>
        <xdr:sp macro="" textlink="">
          <xdr:nvSpPr>
            <xdr:cNvPr id="5211" name="Check Box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2AF6386-AE77-470A-B6C9-D685DE734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323850</xdr:colOff>
          <xdr:row>65</xdr:row>
          <xdr:rowOff>222250</xdr:rowOff>
        </xdr:to>
        <xdr:sp macro="" textlink="">
          <xdr:nvSpPr>
            <xdr:cNvPr id="5212" name="Check Box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5F763464-877D-4364-B1B9-4BB5F5536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323850</xdr:colOff>
          <xdr:row>67</xdr:row>
          <xdr:rowOff>222250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AABCF88B-69CB-4F27-B5A5-92009E359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323850</xdr:colOff>
          <xdr:row>68</xdr:row>
          <xdr:rowOff>222250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1E69A893-4F93-41CE-ABFA-B968769EF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69</xdr:row>
          <xdr:rowOff>69850</xdr:rowOff>
        </xdr:from>
        <xdr:to>
          <xdr:col>2</xdr:col>
          <xdr:colOff>323850</xdr:colOff>
          <xdr:row>69</xdr:row>
          <xdr:rowOff>222250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D67B4F5D-A45C-4391-9D5C-BE795DBF8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70</xdr:row>
          <xdr:rowOff>69850</xdr:rowOff>
        </xdr:from>
        <xdr:to>
          <xdr:col>2</xdr:col>
          <xdr:colOff>323850</xdr:colOff>
          <xdr:row>70</xdr:row>
          <xdr:rowOff>222250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5772B43F-70A0-4407-BF4E-3D5DCB360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323850</xdr:colOff>
          <xdr:row>71</xdr:row>
          <xdr:rowOff>222250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9A5894D2-6929-4FEE-98C4-908F14E28C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323850</xdr:colOff>
          <xdr:row>72</xdr:row>
          <xdr:rowOff>222250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2662F992-745F-48BC-A9FB-280A3D731A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323850</xdr:colOff>
          <xdr:row>66</xdr:row>
          <xdr:rowOff>222250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5BA4AA9F-8FE0-4B67-8C27-C8B1148F5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323850</xdr:colOff>
          <xdr:row>66</xdr:row>
          <xdr:rowOff>222250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C7B38F81-7977-4C95-9CA9-498C9EA57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323850</xdr:colOff>
          <xdr:row>15</xdr:row>
          <xdr:rowOff>222250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72C88AB8-3756-48EA-A855-DC87EFCB37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317500</xdr:colOff>
          <xdr:row>16</xdr:row>
          <xdr:rowOff>260350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D6FA13BD-A8A9-4C9A-8B1B-E026C7D66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501B22C4-889C-42D7-A346-5B006904A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69850</xdr:rowOff>
        </xdr:from>
        <xdr:to>
          <xdr:col>1</xdr:col>
          <xdr:colOff>298450</xdr:colOff>
          <xdr:row>20</xdr:row>
          <xdr:rowOff>222250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6924DB57-6E2E-44CA-8D22-026B50E7E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21</xdr:row>
          <xdr:rowOff>69850</xdr:rowOff>
        </xdr:from>
        <xdr:to>
          <xdr:col>1</xdr:col>
          <xdr:colOff>279400</xdr:colOff>
          <xdr:row>21</xdr:row>
          <xdr:rowOff>241300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590821E-15AA-48DE-9E18-BA65489CF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323850</xdr:colOff>
          <xdr:row>22</xdr:row>
          <xdr:rowOff>241300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636DF512-2EE9-4F56-A70A-8C2CA5D5A9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298450</xdr:colOff>
          <xdr:row>24</xdr:row>
          <xdr:rowOff>228600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ED6DEE83-294A-42EC-9850-10DFF061E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27</xdr:row>
          <xdr:rowOff>69850</xdr:rowOff>
        </xdr:from>
        <xdr:to>
          <xdr:col>1</xdr:col>
          <xdr:colOff>323850</xdr:colOff>
          <xdr:row>27</xdr:row>
          <xdr:rowOff>222250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C7510FB6-FAE7-40CE-AAB7-9627327DC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69850</xdr:rowOff>
        </xdr:from>
        <xdr:to>
          <xdr:col>1</xdr:col>
          <xdr:colOff>323850</xdr:colOff>
          <xdr:row>28</xdr:row>
          <xdr:rowOff>222250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41869907-1FD0-4259-80F3-C6B0DA065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323850</xdr:colOff>
          <xdr:row>29</xdr:row>
          <xdr:rowOff>222250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B1C12603-50B9-4AC9-B39E-251626B74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323850</xdr:colOff>
          <xdr:row>31</xdr:row>
          <xdr:rowOff>222250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D9064D22-560C-443C-BFFA-701924ADD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323850</xdr:colOff>
          <xdr:row>32</xdr:row>
          <xdr:rowOff>222250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E1E7CE69-83C5-44E4-98A1-EE0D64989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323850</xdr:colOff>
          <xdr:row>33</xdr:row>
          <xdr:rowOff>222250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E8B67FEF-1303-4FB9-A697-1FF6D0DA3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69850</xdr:rowOff>
        </xdr:from>
        <xdr:to>
          <xdr:col>1</xdr:col>
          <xdr:colOff>323850</xdr:colOff>
          <xdr:row>34</xdr:row>
          <xdr:rowOff>222250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8A91E3C-F1D8-4F8A-9851-E6DC18DBB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323850</xdr:colOff>
          <xdr:row>36</xdr:row>
          <xdr:rowOff>222250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CDC9C05C-EA07-4B0B-B12A-B9EDE4B75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323850</xdr:colOff>
          <xdr:row>39</xdr:row>
          <xdr:rowOff>222250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5DB78730-2899-46E9-ABC2-0B287871A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323850</xdr:colOff>
          <xdr:row>40</xdr:row>
          <xdr:rowOff>222250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8A108BCB-DE8A-43B4-A8C9-E26E650BB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41</xdr:row>
          <xdr:rowOff>69850</xdr:rowOff>
        </xdr:from>
        <xdr:to>
          <xdr:col>1</xdr:col>
          <xdr:colOff>323850</xdr:colOff>
          <xdr:row>41</xdr:row>
          <xdr:rowOff>222250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818D229F-62A8-4535-83B9-6D9695599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323850</xdr:colOff>
          <xdr:row>43</xdr:row>
          <xdr:rowOff>222250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2F496B11-C899-4E7C-A954-730B1A43B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323850</xdr:colOff>
          <xdr:row>44</xdr:row>
          <xdr:rowOff>222250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A79AECCF-6EFC-4CC4-B1DE-4ED252DCF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323850</xdr:colOff>
          <xdr:row>45</xdr:row>
          <xdr:rowOff>222250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2E7CB8FC-F40B-45E3-86E4-3A33E5EBD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323850</xdr:colOff>
          <xdr:row>46</xdr:row>
          <xdr:rowOff>222250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CFE645C9-57B5-43F5-A508-8C85713B8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323850</xdr:colOff>
          <xdr:row>47</xdr:row>
          <xdr:rowOff>222250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2B05C7C0-5294-4098-B5A8-F8FD9CF6E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48</xdr:row>
          <xdr:rowOff>69850</xdr:rowOff>
        </xdr:from>
        <xdr:to>
          <xdr:col>1</xdr:col>
          <xdr:colOff>323850</xdr:colOff>
          <xdr:row>48</xdr:row>
          <xdr:rowOff>222250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4F23ED04-0477-43DE-8151-50BC73E36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323850</xdr:colOff>
          <xdr:row>51</xdr:row>
          <xdr:rowOff>222250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F4F4EF98-859D-492A-A843-4C2449980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323850</xdr:colOff>
          <xdr:row>52</xdr:row>
          <xdr:rowOff>222250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1BB8D736-F132-4BF6-91FE-788B87A0D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323850</xdr:colOff>
          <xdr:row>53</xdr:row>
          <xdr:rowOff>222250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7009372D-E092-4884-A418-4157A2261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55</xdr:row>
          <xdr:rowOff>69850</xdr:rowOff>
        </xdr:from>
        <xdr:to>
          <xdr:col>1</xdr:col>
          <xdr:colOff>323850</xdr:colOff>
          <xdr:row>55</xdr:row>
          <xdr:rowOff>222250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18CAD496-A768-4D4D-89CD-62B78366A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56</xdr:row>
          <xdr:rowOff>69850</xdr:rowOff>
        </xdr:from>
        <xdr:to>
          <xdr:col>1</xdr:col>
          <xdr:colOff>323850</xdr:colOff>
          <xdr:row>56</xdr:row>
          <xdr:rowOff>222250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703A96E-A179-408B-B8C8-055977BC1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323850</xdr:colOff>
          <xdr:row>57</xdr:row>
          <xdr:rowOff>222250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7A54C6CE-9E36-4D6C-B86A-4566CF361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323850</xdr:colOff>
          <xdr:row>58</xdr:row>
          <xdr:rowOff>222250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4C270AF1-62A5-442E-87C9-1363891C0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323850</xdr:colOff>
          <xdr:row>59</xdr:row>
          <xdr:rowOff>222250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85AA2C4A-04FA-4882-9453-723A800C6D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323850</xdr:colOff>
          <xdr:row>60</xdr:row>
          <xdr:rowOff>222250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9C4E0EB8-95D2-4267-A761-3719109E7C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323850</xdr:colOff>
          <xdr:row>15</xdr:row>
          <xdr:rowOff>222250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33D8A09A-64D5-4E2B-A2D9-5EC9D4FFD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323850</xdr:colOff>
          <xdr:row>16</xdr:row>
          <xdr:rowOff>222250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3624F9DE-4B71-4005-B075-9E301962F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323850</xdr:colOff>
          <xdr:row>19</xdr:row>
          <xdr:rowOff>222250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8479E1D2-99E1-425F-ACDC-B9E06143C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69850</xdr:rowOff>
        </xdr:from>
        <xdr:to>
          <xdr:col>2</xdr:col>
          <xdr:colOff>323850</xdr:colOff>
          <xdr:row>20</xdr:row>
          <xdr:rowOff>222250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6A9791CF-7328-42F9-9CE0-71224377E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69850</xdr:rowOff>
        </xdr:from>
        <xdr:to>
          <xdr:col>2</xdr:col>
          <xdr:colOff>323850</xdr:colOff>
          <xdr:row>21</xdr:row>
          <xdr:rowOff>222250</xdr:rowOff>
        </xdr:to>
        <xdr:sp macro="" textlink="">
          <xdr:nvSpPr>
            <xdr:cNvPr id="6182" name="Check Box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9C036414-6237-43C7-81DE-6548259A6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323850</xdr:colOff>
          <xdr:row>22</xdr:row>
          <xdr:rowOff>222250</xdr:rowOff>
        </xdr:to>
        <xdr:sp macro="" textlink="">
          <xdr:nvSpPr>
            <xdr:cNvPr id="6183" name="Check Box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AEE6F493-82DE-4383-B1F0-69B3B65CD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323850</xdr:colOff>
          <xdr:row>24</xdr:row>
          <xdr:rowOff>222250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A2F0E16E-B7D9-4E86-8272-57872D4D6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27</xdr:row>
          <xdr:rowOff>69850</xdr:rowOff>
        </xdr:from>
        <xdr:to>
          <xdr:col>2</xdr:col>
          <xdr:colOff>323850</xdr:colOff>
          <xdr:row>27</xdr:row>
          <xdr:rowOff>222250</xdr:rowOff>
        </xdr:to>
        <xdr:sp macro="" textlink="">
          <xdr:nvSpPr>
            <xdr:cNvPr id="6185" name="Check Box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E865209-3CF1-49E2-AF71-41E3FE68C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28</xdr:row>
          <xdr:rowOff>69850</xdr:rowOff>
        </xdr:from>
        <xdr:to>
          <xdr:col>2</xdr:col>
          <xdr:colOff>323850</xdr:colOff>
          <xdr:row>28</xdr:row>
          <xdr:rowOff>222250</xdr:rowOff>
        </xdr:to>
        <xdr:sp macro="" textlink="">
          <xdr:nvSpPr>
            <xdr:cNvPr id="6186" name="Check Box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7ED6E6DF-8378-4066-A72D-F5B4A8DA4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323850</xdr:colOff>
          <xdr:row>29</xdr:row>
          <xdr:rowOff>222250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FC4FDA01-6739-4642-8E30-5E430FF66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323850</xdr:colOff>
          <xdr:row>31</xdr:row>
          <xdr:rowOff>222250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10B372CF-14FA-460D-BE5F-13B1A5392A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323850</xdr:colOff>
          <xdr:row>32</xdr:row>
          <xdr:rowOff>222250</xdr:rowOff>
        </xdr:to>
        <xdr:sp macro="" textlink="">
          <xdr:nvSpPr>
            <xdr:cNvPr id="6189" name="Check Box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3A50ADBA-0590-4246-A30A-25B070FD6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323850</xdr:colOff>
          <xdr:row>33</xdr:row>
          <xdr:rowOff>222250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86E0060A-4ADF-4313-A078-5E1198C22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34</xdr:row>
          <xdr:rowOff>69850</xdr:rowOff>
        </xdr:from>
        <xdr:to>
          <xdr:col>2</xdr:col>
          <xdr:colOff>323850</xdr:colOff>
          <xdr:row>34</xdr:row>
          <xdr:rowOff>222250</xdr:rowOff>
        </xdr:to>
        <xdr:sp macro="" textlink="">
          <xdr:nvSpPr>
            <xdr:cNvPr id="6191" name="Check Box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33385923-6E63-463E-AD07-6F68754A9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323850</xdr:colOff>
          <xdr:row>36</xdr:row>
          <xdr:rowOff>222250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58BF9D53-76D6-4FCC-A3A6-72FABD4C4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323850</xdr:colOff>
          <xdr:row>39</xdr:row>
          <xdr:rowOff>222250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F2D2E06D-4584-4E62-BA95-4585BFE7B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323850</xdr:colOff>
          <xdr:row>40</xdr:row>
          <xdr:rowOff>222250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E33A3F0E-4D88-4D09-AC17-0510911C38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41</xdr:row>
          <xdr:rowOff>69850</xdr:rowOff>
        </xdr:from>
        <xdr:to>
          <xdr:col>2</xdr:col>
          <xdr:colOff>323850</xdr:colOff>
          <xdr:row>41</xdr:row>
          <xdr:rowOff>222250</xdr:rowOff>
        </xdr:to>
        <xdr:sp macro="" textlink="">
          <xdr:nvSpPr>
            <xdr:cNvPr id="6195" name="Check Box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56414536-09CB-4B8F-B0F8-EE98960AE1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323850</xdr:colOff>
          <xdr:row>43</xdr:row>
          <xdr:rowOff>222250</xdr:rowOff>
        </xdr:to>
        <xdr:sp macro="" textlink="">
          <xdr:nvSpPr>
            <xdr:cNvPr id="6196" name="Check Box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0D67DB4F-2F61-4CB9-8755-1434C9F65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323850</xdr:colOff>
          <xdr:row>44</xdr:row>
          <xdr:rowOff>222250</xdr:rowOff>
        </xdr:to>
        <xdr:sp macro="" textlink="">
          <xdr:nvSpPr>
            <xdr:cNvPr id="6197" name="Check Box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59C9E3E2-545F-4CC6-89B9-739613C6B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323850</xdr:colOff>
          <xdr:row>45</xdr:row>
          <xdr:rowOff>222250</xdr:rowOff>
        </xdr:to>
        <xdr:sp macro="" textlink="">
          <xdr:nvSpPr>
            <xdr:cNvPr id="6198" name="Check Box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875078A3-16B7-4E46-8D70-EFA5472E7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323850</xdr:colOff>
          <xdr:row>46</xdr:row>
          <xdr:rowOff>222250</xdr:rowOff>
        </xdr:to>
        <xdr:sp macro="" textlink="">
          <xdr:nvSpPr>
            <xdr:cNvPr id="6199" name="Check Box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2C4380EB-AE96-4B97-BEC0-5DDB3D4A8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323850</xdr:colOff>
          <xdr:row>47</xdr:row>
          <xdr:rowOff>222250</xdr:rowOff>
        </xdr:to>
        <xdr:sp macro="" textlink="">
          <xdr:nvSpPr>
            <xdr:cNvPr id="6200" name="Check Box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BFDBE730-5823-4F27-846D-092D53B008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48</xdr:row>
          <xdr:rowOff>69850</xdr:rowOff>
        </xdr:from>
        <xdr:to>
          <xdr:col>2</xdr:col>
          <xdr:colOff>323850</xdr:colOff>
          <xdr:row>48</xdr:row>
          <xdr:rowOff>222250</xdr:rowOff>
        </xdr:to>
        <xdr:sp macro="" textlink="">
          <xdr:nvSpPr>
            <xdr:cNvPr id="6201" name="Check Box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AC1AE866-E2B7-4666-B987-A0B620B75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323850</xdr:colOff>
          <xdr:row>51</xdr:row>
          <xdr:rowOff>222250</xdr:rowOff>
        </xdr:to>
        <xdr:sp macro="" textlink="">
          <xdr:nvSpPr>
            <xdr:cNvPr id="6202" name="Check Box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611EDF3A-1A59-412A-AF7A-5563B32241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323850</xdr:colOff>
          <xdr:row>52</xdr:row>
          <xdr:rowOff>222250</xdr:rowOff>
        </xdr:to>
        <xdr:sp macro="" textlink="">
          <xdr:nvSpPr>
            <xdr:cNvPr id="6203" name="Check Box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DC843617-5402-41BF-94D0-BD16CF72B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323850</xdr:colOff>
          <xdr:row>53</xdr:row>
          <xdr:rowOff>222250</xdr:rowOff>
        </xdr:to>
        <xdr:sp macro="" textlink="">
          <xdr:nvSpPr>
            <xdr:cNvPr id="6204" name="Check Box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EFDF4F49-0406-4AA5-A1F1-1C6A5B9B6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55</xdr:row>
          <xdr:rowOff>69850</xdr:rowOff>
        </xdr:from>
        <xdr:to>
          <xdr:col>2</xdr:col>
          <xdr:colOff>323850</xdr:colOff>
          <xdr:row>55</xdr:row>
          <xdr:rowOff>222250</xdr:rowOff>
        </xdr:to>
        <xdr:sp macro="" textlink="">
          <xdr:nvSpPr>
            <xdr:cNvPr id="6205" name="Check Box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AEE5C260-964A-423D-A6C5-5EEE88C42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56</xdr:row>
          <xdr:rowOff>69850</xdr:rowOff>
        </xdr:from>
        <xdr:to>
          <xdr:col>2</xdr:col>
          <xdr:colOff>323850</xdr:colOff>
          <xdr:row>56</xdr:row>
          <xdr:rowOff>222250</xdr:rowOff>
        </xdr:to>
        <xdr:sp macro="" textlink="">
          <xdr:nvSpPr>
            <xdr:cNvPr id="6206" name="Check Box 6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33C39BA7-7A37-4C3D-B201-AC7196243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323850</xdr:colOff>
          <xdr:row>57</xdr:row>
          <xdr:rowOff>222250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4E6B9116-7A88-4E09-B790-FC8973348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323850</xdr:colOff>
          <xdr:row>58</xdr:row>
          <xdr:rowOff>222250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8C454B38-E3C8-4649-B8A0-DBB7FF878C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323850</xdr:colOff>
          <xdr:row>59</xdr:row>
          <xdr:rowOff>222250</xdr:rowOff>
        </xdr:to>
        <xdr:sp macro="" textlink="">
          <xdr:nvSpPr>
            <xdr:cNvPr id="6209" name="Check Box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1B41336-F116-4E45-92C6-20099CCCF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323850</xdr:colOff>
          <xdr:row>60</xdr:row>
          <xdr:rowOff>222250</xdr:rowOff>
        </xdr:to>
        <xdr:sp macro="" textlink="">
          <xdr:nvSpPr>
            <xdr:cNvPr id="6210" name="Check Box 6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06632A18-3A07-456C-BAA7-9FC490BC7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2</xdr:col>
      <xdr:colOff>607</xdr:colOff>
      <xdr:row>4</xdr:row>
      <xdr:rowOff>34290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F05B182-61F4-49E2-A913-BF6BAD6C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8157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69" name="Picture 23">
          <a:extLst>
            <a:ext uri="{FF2B5EF4-FFF2-40B4-BE49-F238E27FC236}">
              <a16:creationId xmlns:a16="http://schemas.microsoft.com/office/drawing/2014/main" id="{55A8460D-6FB3-44D9-AC90-F76C514F9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247650</xdr:rowOff>
        </xdr:to>
        <xdr:sp macro="" textlink="">
          <xdr:nvSpPr>
            <xdr:cNvPr id="6211" name="Check Box 6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CA143007-88DC-4C68-8A7F-CA04C6CB5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323850</xdr:colOff>
          <xdr:row>18</xdr:row>
          <xdr:rowOff>222250</xdr:rowOff>
        </xdr:to>
        <xdr:sp macro="" textlink="">
          <xdr:nvSpPr>
            <xdr:cNvPr id="6212" name="Check Box 6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F4CFCA7C-D62A-41A7-ABB8-4C43F06AB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317500</xdr:colOff>
          <xdr:row>17</xdr:row>
          <xdr:rowOff>260350</xdr:rowOff>
        </xdr:to>
        <xdr:sp macro="" textlink="">
          <xdr:nvSpPr>
            <xdr:cNvPr id="6213" name="Check Box 69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0E28E94D-0C8A-439A-919A-BDC73AA7F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323850</xdr:colOff>
          <xdr:row>17</xdr:row>
          <xdr:rowOff>222250</xdr:rowOff>
        </xdr:to>
        <xdr:sp macro="" textlink="">
          <xdr:nvSpPr>
            <xdr:cNvPr id="6214" name="Check Box 7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F1598A71-C853-4D5D-9FF6-2A9769D75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323850</xdr:colOff>
          <xdr:row>23</xdr:row>
          <xdr:rowOff>241300</xdr:rowOff>
        </xdr:to>
        <xdr:sp macro="" textlink="">
          <xdr:nvSpPr>
            <xdr:cNvPr id="6215" name="Check Box 7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4F24E3C7-EA51-486F-AA1B-8B936BDF9F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323850</xdr:colOff>
          <xdr:row>23</xdr:row>
          <xdr:rowOff>222250</xdr:rowOff>
        </xdr:to>
        <xdr:sp macro="" textlink="">
          <xdr:nvSpPr>
            <xdr:cNvPr id="6216" name="Check Box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13F98246-E468-46B9-BD09-56B13EBF5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323850</xdr:colOff>
          <xdr:row>30</xdr:row>
          <xdr:rowOff>222250</xdr:rowOff>
        </xdr:to>
        <xdr:sp macro="" textlink="">
          <xdr:nvSpPr>
            <xdr:cNvPr id="6217" name="Check Box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603E3FA9-AFD9-4D87-AE84-517B19F5A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323850</xdr:colOff>
          <xdr:row>30</xdr:row>
          <xdr:rowOff>222250</xdr:rowOff>
        </xdr:to>
        <xdr:sp macro="" textlink="">
          <xdr:nvSpPr>
            <xdr:cNvPr id="6218" name="Check Box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7CA6A5BB-3E22-4D7B-AD1D-2E94D6D27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35</xdr:row>
          <xdr:rowOff>69850</xdr:rowOff>
        </xdr:from>
        <xdr:to>
          <xdr:col>1</xdr:col>
          <xdr:colOff>323850</xdr:colOff>
          <xdr:row>35</xdr:row>
          <xdr:rowOff>222250</xdr:rowOff>
        </xdr:to>
        <xdr:sp macro="" textlink="">
          <xdr:nvSpPr>
            <xdr:cNvPr id="6219" name="Check Box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D03273F2-09B6-4CDF-8567-A4D71494AF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35</xdr:row>
          <xdr:rowOff>69850</xdr:rowOff>
        </xdr:from>
        <xdr:to>
          <xdr:col>2</xdr:col>
          <xdr:colOff>323850</xdr:colOff>
          <xdr:row>35</xdr:row>
          <xdr:rowOff>222250</xdr:rowOff>
        </xdr:to>
        <xdr:sp macro="" textlink="">
          <xdr:nvSpPr>
            <xdr:cNvPr id="6220" name="Check Box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BAFC6996-A98B-4427-9058-E45209D7D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42</xdr:row>
          <xdr:rowOff>69850</xdr:rowOff>
        </xdr:from>
        <xdr:to>
          <xdr:col>1</xdr:col>
          <xdr:colOff>323850</xdr:colOff>
          <xdr:row>42</xdr:row>
          <xdr:rowOff>222250</xdr:rowOff>
        </xdr:to>
        <xdr:sp macro="" textlink="">
          <xdr:nvSpPr>
            <xdr:cNvPr id="6221" name="Check Box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8423335F-D7FE-4C6B-8CB6-08C68FFF02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69850</xdr:rowOff>
        </xdr:from>
        <xdr:to>
          <xdr:col>2</xdr:col>
          <xdr:colOff>323850</xdr:colOff>
          <xdr:row>42</xdr:row>
          <xdr:rowOff>222250</xdr:rowOff>
        </xdr:to>
        <xdr:sp macro="" textlink="">
          <xdr:nvSpPr>
            <xdr:cNvPr id="6222" name="Check Box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93D04454-13D2-434B-B2F8-42E797A05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323850</xdr:colOff>
          <xdr:row>54</xdr:row>
          <xdr:rowOff>222250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68555C12-A557-473B-80DF-9FB44874D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323850</xdr:colOff>
          <xdr:row>54</xdr:row>
          <xdr:rowOff>222250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5B7B1D10-745D-40A8-A3C5-00FCB7FF0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63</xdr:row>
          <xdr:rowOff>69850</xdr:rowOff>
        </xdr:from>
        <xdr:to>
          <xdr:col>1</xdr:col>
          <xdr:colOff>323850</xdr:colOff>
          <xdr:row>63</xdr:row>
          <xdr:rowOff>222250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A2CA3C94-A737-460E-8762-E620D3FEC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323850</xdr:colOff>
          <xdr:row>64</xdr:row>
          <xdr:rowOff>222250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40F420B1-0C98-4865-84EC-FBF2DEF6CE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323850</xdr:colOff>
          <xdr:row>65</xdr:row>
          <xdr:rowOff>222250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93CEAA5-D83A-4EA1-9B25-1CB0A9477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323850</xdr:colOff>
          <xdr:row>67</xdr:row>
          <xdr:rowOff>222250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5F58463F-3F19-4AB9-B104-E4624340C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323850</xdr:colOff>
          <xdr:row>68</xdr:row>
          <xdr:rowOff>222250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499D2782-71B3-4046-B7AE-EA466EB0D3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69</xdr:row>
          <xdr:rowOff>69850</xdr:rowOff>
        </xdr:from>
        <xdr:to>
          <xdr:col>1</xdr:col>
          <xdr:colOff>323850</xdr:colOff>
          <xdr:row>69</xdr:row>
          <xdr:rowOff>222250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86A3B428-ED17-4B21-AC7E-9311234CAC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70</xdr:row>
          <xdr:rowOff>69850</xdr:rowOff>
        </xdr:from>
        <xdr:to>
          <xdr:col>1</xdr:col>
          <xdr:colOff>323850</xdr:colOff>
          <xdr:row>70</xdr:row>
          <xdr:rowOff>222250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7BF4EC9F-5C61-4FA0-81D7-C4CA3FDC0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323850</xdr:colOff>
          <xdr:row>71</xdr:row>
          <xdr:rowOff>222250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CD5467A0-2BCC-4071-833D-DE81DC77D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323850</xdr:colOff>
          <xdr:row>72</xdr:row>
          <xdr:rowOff>222250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263444DC-7AA9-4BC4-82C5-33D92D66F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69850</xdr:rowOff>
        </xdr:from>
        <xdr:to>
          <xdr:col>2</xdr:col>
          <xdr:colOff>323850</xdr:colOff>
          <xdr:row>63</xdr:row>
          <xdr:rowOff>222250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D9135428-8A1E-409F-9AD3-E992EAFA3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323850</xdr:colOff>
          <xdr:row>64</xdr:row>
          <xdr:rowOff>222250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B9D2F9EF-861B-4E2A-A9AE-52DC08CF6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323850</xdr:colOff>
          <xdr:row>65</xdr:row>
          <xdr:rowOff>222250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F5936FC6-68D3-46B3-884B-EB5A3A9F58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323850</xdr:colOff>
          <xdr:row>67</xdr:row>
          <xdr:rowOff>222250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5404BE5C-CE78-4E5F-8732-DF86692790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323850</xdr:colOff>
          <xdr:row>68</xdr:row>
          <xdr:rowOff>222250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4197BFEA-0566-4D25-AD73-49C0A7378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69</xdr:row>
          <xdr:rowOff>69850</xdr:rowOff>
        </xdr:from>
        <xdr:to>
          <xdr:col>2</xdr:col>
          <xdr:colOff>323850</xdr:colOff>
          <xdr:row>69</xdr:row>
          <xdr:rowOff>222250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A33F899A-2297-4946-AC91-A2ACCB09C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70</xdr:row>
          <xdr:rowOff>69850</xdr:rowOff>
        </xdr:from>
        <xdr:to>
          <xdr:col>2</xdr:col>
          <xdr:colOff>323850</xdr:colOff>
          <xdr:row>70</xdr:row>
          <xdr:rowOff>222250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F91A1875-30C0-45F9-A487-35678894A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323850</xdr:colOff>
          <xdr:row>71</xdr:row>
          <xdr:rowOff>222250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240678DD-B90E-49C5-A214-9CFBCF5BF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323850</xdr:colOff>
          <xdr:row>72</xdr:row>
          <xdr:rowOff>222250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48716C6E-661D-4F8C-A7B7-508799901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323850</xdr:colOff>
          <xdr:row>66</xdr:row>
          <xdr:rowOff>222250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8667D1DA-01DD-45E4-BFD7-E6A184936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323850</xdr:colOff>
          <xdr:row>66</xdr:row>
          <xdr:rowOff>222250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E5366A07-5E66-4AA3-852B-F560F6817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292100</xdr:colOff>
      <xdr:row>0</xdr:row>
      <xdr:rowOff>0</xdr:rowOff>
    </xdr:from>
    <xdr:to>
      <xdr:col>13</xdr:col>
      <xdr:colOff>167640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800" y="0"/>
          <a:ext cx="694690" cy="69469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6</xdr:row>
      <xdr:rowOff>19050</xdr:rowOff>
    </xdr:from>
    <xdr:to>
      <xdr:col>15</xdr:col>
      <xdr:colOff>177800</xdr:colOff>
      <xdr:row>7</xdr:row>
      <xdr:rowOff>12700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1009650"/>
          <a:ext cx="21526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23.xml"/><Relationship Id="rId21" Type="http://schemas.openxmlformats.org/officeDocument/2006/relationships/ctrlProp" Target="../ctrlProps/ctrlProp118.xml"/><Relationship Id="rId42" Type="http://schemas.openxmlformats.org/officeDocument/2006/relationships/ctrlProp" Target="../ctrlProps/ctrlProp139.xml"/><Relationship Id="rId47" Type="http://schemas.openxmlformats.org/officeDocument/2006/relationships/ctrlProp" Target="../ctrlProps/ctrlProp144.xml"/><Relationship Id="rId63" Type="http://schemas.openxmlformats.org/officeDocument/2006/relationships/ctrlProp" Target="../ctrlProps/ctrlProp160.xml"/><Relationship Id="rId68" Type="http://schemas.openxmlformats.org/officeDocument/2006/relationships/ctrlProp" Target="../ctrlProps/ctrlProp165.xml"/><Relationship Id="rId84" Type="http://schemas.openxmlformats.org/officeDocument/2006/relationships/ctrlProp" Target="../ctrlProps/ctrlProp181.xml"/><Relationship Id="rId89" Type="http://schemas.openxmlformats.org/officeDocument/2006/relationships/ctrlProp" Target="../ctrlProps/ctrlProp186.xml"/><Relationship Id="rId16" Type="http://schemas.openxmlformats.org/officeDocument/2006/relationships/ctrlProp" Target="../ctrlProps/ctrlProp113.xml"/><Relationship Id="rId11" Type="http://schemas.openxmlformats.org/officeDocument/2006/relationships/ctrlProp" Target="../ctrlProps/ctrlProp108.xml"/><Relationship Id="rId32" Type="http://schemas.openxmlformats.org/officeDocument/2006/relationships/ctrlProp" Target="../ctrlProps/ctrlProp129.xml"/><Relationship Id="rId37" Type="http://schemas.openxmlformats.org/officeDocument/2006/relationships/ctrlProp" Target="../ctrlProps/ctrlProp134.xml"/><Relationship Id="rId53" Type="http://schemas.openxmlformats.org/officeDocument/2006/relationships/ctrlProp" Target="../ctrlProps/ctrlProp150.xml"/><Relationship Id="rId58" Type="http://schemas.openxmlformats.org/officeDocument/2006/relationships/ctrlProp" Target="../ctrlProps/ctrlProp155.xml"/><Relationship Id="rId74" Type="http://schemas.openxmlformats.org/officeDocument/2006/relationships/ctrlProp" Target="../ctrlProps/ctrlProp171.xml"/><Relationship Id="rId79" Type="http://schemas.openxmlformats.org/officeDocument/2006/relationships/ctrlProp" Target="../ctrlProps/ctrlProp176.xml"/><Relationship Id="rId102" Type="http://schemas.openxmlformats.org/officeDocument/2006/relationships/ctrlProp" Target="../ctrlProps/ctrlProp199.xml"/><Relationship Id="rId5" Type="http://schemas.openxmlformats.org/officeDocument/2006/relationships/ctrlProp" Target="../ctrlProps/ctrlProp102.xml"/><Relationship Id="rId90" Type="http://schemas.openxmlformats.org/officeDocument/2006/relationships/ctrlProp" Target="../ctrlProps/ctrlProp187.xml"/><Relationship Id="rId95" Type="http://schemas.openxmlformats.org/officeDocument/2006/relationships/ctrlProp" Target="../ctrlProps/ctrlProp192.xml"/><Relationship Id="rId22" Type="http://schemas.openxmlformats.org/officeDocument/2006/relationships/ctrlProp" Target="../ctrlProps/ctrlProp119.xml"/><Relationship Id="rId27" Type="http://schemas.openxmlformats.org/officeDocument/2006/relationships/ctrlProp" Target="../ctrlProps/ctrlProp124.xml"/><Relationship Id="rId43" Type="http://schemas.openxmlformats.org/officeDocument/2006/relationships/ctrlProp" Target="../ctrlProps/ctrlProp140.xml"/><Relationship Id="rId48" Type="http://schemas.openxmlformats.org/officeDocument/2006/relationships/ctrlProp" Target="../ctrlProps/ctrlProp145.xml"/><Relationship Id="rId64" Type="http://schemas.openxmlformats.org/officeDocument/2006/relationships/ctrlProp" Target="../ctrlProps/ctrlProp161.xml"/><Relationship Id="rId69" Type="http://schemas.openxmlformats.org/officeDocument/2006/relationships/ctrlProp" Target="../ctrlProps/ctrlProp166.xml"/><Relationship Id="rId80" Type="http://schemas.openxmlformats.org/officeDocument/2006/relationships/ctrlProp" Target="../ctrlProps/ctrlProp177.xml"/><Relationship Id="rId85" Type="http://schemas.openxmlformats.org/officeDocument/2006/relationships/ctrlProp" Target="../ctrlProps/ctrlProp182.xml"/><Relationship Id="rId12" Type="http://schemas.openxmlformats.org/officeDocument/2006/relationships/ctrlProp" Target="../ctrlProps/ctrlProp109.xml"/><Relationship Id="rId17" Type="http://schemas.openxmlformats.org/officeDocument/2006/relationships/ctrlProp" Target="../ctrlProps/ctrlProp114.xml"/><Relationship Id="rId25" Type="http://schemas.openxmlformats.org/officeDocument/2006/relationships/ctrlProp" Target="../ctrlProps/ctrlProp122.xml"/><Relationship Id="rId33" Type="http://schemas.openxmlformats.org/officeDocument/2006/relationships/ctrlProp" Target="../ctrlProps/ctrlProp130.xml"/><Relationship Id="rId38" Type="http://schemas.openxmlformats.org/officeDocument/2006/relationships/ctrlProp" Target="../ctrlProps/ctrlProp135.xml"/><Relationship Id="rId46" Type="http://schemas.openxmlformats.org/officeDocument/2006/relationships/ctrlProp" Target="../ctrlProps/ctrlProp143.xml"/><Relationship Id="rId59" Type="http://schemas.openxmlformats.org/officeDocument/2006/relationships/ctrlProp" Target="../ctrlProps/ctrlProp156.xml"/><Relationship Id="rId67" Type="http://schemas.openxmlformats.org/officeDocument/2006/relationships/ctrlProp" Target="../ctrlProps/ctrlProp164.xml"/><Relationship Id="rId103" Type="http://schemas.openxmlformats.org/officeDocument/2006/relationships/ctrlProp" Target="../ctrlProps/ctrlProp200.xml"/><Relationship Id="rId20" Type="http://schemas.openxmlformats.org/officeDocument/2006/relationships/ctrlProp" Target="../ctrlProps/ctrlProp117.xml"/><Relationship Id="rId41" Type="http://schemas.openxmlformats.org/officeDocument/2006/relationships/ctrlProp" Target="../ctrlProps/ctrlProp138.xml"/><Relationship Id="rId54" Type="http://schemas.openxmlformats.org/officeDocument/2006/relationships/ctrlProp" Target="../ctrlProps/ctrlProp151.xml"/><Relationship Id="rId62" Type="http://schemas.openxmlformats.org/officeDocument/2006/relationships/ctrlProp" Target="../ctrlProps/ctrlProp159.xml"/><Relationship Id="rId70" Type="http://schemas.openxmlformats.org/officeDocument/2006/relationships/ctrlProp" Target="../ctrlProps/ctrlProp167.xml"/><Relationship Id="rId75" Type="http://schemas.openxmlformats.org/officeDocument/2006/relationships/ctrlProp" Target="../ctrlProps/ctrlProp172.xml"/><Relationship Id="rId83" Type="http://schemas.openxmlformats.org/officeDocument/2006/relationships/ctrlProp" Target="../ctrlProps/ctrlProp180.xml"/><Relationship Id="rId88" Type="http://schemas.openxmlformats.org/officeDocument/2006/relationships/ctrlProp" Target="../ctrlProps/ctrlProp185.xml"/><Relationship Id="rId91" Type="http://schemas.openxmlformats.org/officeDocument/2006/relationships/ctrlProp" Target="../ctrlProps/ctrlProp188.xml"/><Relationship Id="rId96" Type="http://schemas.openxmlformats.org/officeDocument/2006/relationships/ctrlProp" Target="../ctrlProps/ctrlProp1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3.xml"/><Relationship Id="rId15" Type="http://schemas.openxmlformats.org/officeDocument/2006/relationships/ctrlProp" Target="../ctrlProps/ctrlProp112.xml"/><Relationship Id="rId23" Type="http://schemas.openxmlformats.org/officeDocument/2006/relationships/ctrlProp" Target="../ctrlProps/ctrlProp120.xml"/><Relationship Id="rId28" Type="http://schemas.openxmlformats.org/officeDocument/2006/relationships/ctrlProp" Target="../ctrlProps/ctrlProp125.xml"/><Relationship Id="rId36" Type="http://schemas.openxmlformats.org/officeDocument/2006/relationships/ctrlProp" Target="../ctrlProps/ctrlProp133.xml"/><Relationship Id="rId49" Type="http://schemas.openxmlformats.org/officeDocument/2006/relationships/ctrlProp" Target="../ctrlProps/ctrlProp146.xml"/><Relationship Id="rId57" Type="http://schemas.openxmlformats.org/officeDocument/2006/relationships/ctrlProp" Target="../ctrlProps/ctrlProp154.xml"/><Relationship Id="rId10" Type="http://schemas.openxmlformats.org/officeDocument/2006/relationships/ctrlProp" Target="../ctrlProps/ctrlProp107.xml"/><Relationship Id="rId31" Type="http://schemas.openxmlformats.org/officeDocument/2006/relationships/ctrlProp" Target="../ctrlProps/ctrlProp128.xml"/><Relationship Id="rId44" Type="http://schemas.openxmlformats.org/officeDocument/2006/relationships/ctrlProp" Target="../ctrlProps/ctrlProp141.xml"/><Relationship Id="rId52" Type="http://schemas.openxmlformats.org/officeDocument/2006/relationships/ctrlProp" Target="../ctrlProps/ctrlProp149.xml"/><Relationship Id="rId60" Type="http://schemas.openxmlformats.org/officeDocument/2006/relationships/ctrlProp" Target="../ctrlProps/ctrlProp157.xml"/><Relationship Id="rId65" Type="http://schemas.openxmlformats.org/officeDocument/2006/relationships/ctrlProp" Target="../ctrlProps/ctrlProp162.xml"/><Relationship Id="rId73" Type="http://schemas.openxmlformats.org/officeDocument/2006/relationships/ctrlProp" Target="../ctrlProps/ctrlProp170.xml"/><Relationship Id="rId78" Type="http://schemas.openxmlformats.org/officeDocument/2006/relationships/ctrlProp" Target="../ctrlProps/ctrlProp175.xml"/><Relationship Id="rId81" Type="http://schemas.openxmlformats.org/officeDocument/2006/relationships/ctrlProp" Target="../ctrlProps/ctrlProp178.xml"/><Relationship Id="rId86" Type="http://schemas.openxmlformats.org/officeDocument/2006/relationships/ctrlProp" Target="../ctrlProps/ctrlProp183.xml"/><Relationship Id="rId94" Type="http://schemas.openxmlformats.org/officeDocument/2006/relationships/ctrlProp" Target="../ctrlProps/ctrlProp191.xml"/><Relationship Id="rId99" Type="http://schemas.openxmlformats.org/officeDocument/2006/relationships/ctrlProp" Target="../ctrlProps/ctrlProp196.xml"/><Relationship Id="rId101" Type="http://schemas.openxmlformats.org/officeDocument/2006/relationships/ctrlProp" Target="../ctrlProps/ctrlProp198.xml"/><Relationship Id="rId4" Type="http://schemas.openxmlformats.org/officeDocument/2006/relationships/ctrlProp" Target="../ctrlProps/ctrlProp101.xml"/><Relationship Id="rId9" Type="http://schemas.openxmlformats.org/officeDocument/2006/relationships/ctrlProp" Target="../ctrlProps/ctrlProp106.xml"/><Relationship Id="rId13" Type="http://schemas.openxmlformats.org/officeDocument/2006/relationships/ctrlProp" Target="../ctrlProps/ctrlProp110.xml"/><Relationship Id="rId18" Type="http://schemas.openxmlformats.org/officeDocument/2006/relationships/ctrlProp" Target="../ctrlProps/ctrlProp115.xml"/><Relationship Id="rId39" Type="http://schemas.openxmlformats.org/officeDocument/2006/relationships/ctrlProp" Target="../ctrlProps/ctrlProp136.xml"/><Relationship Id="rId34" Type="http://schemas.openxmlformats.org/officeDocument/2006/relationships/ctrlProp" Target="../ctrlProps/ctrlProp131.xml"/><Relationship Id="rId50" Type="http://schemas.openxmlformats.org/officeDocument/2006/relationships/ctrlProp" Target="../ctrlProps/ctrlProp147.xml"/><Relationship Id="rId55" Type="http://schemas.openxmlformats.org/officeDocument/2006/relationships/ctrlProp" Target="../ctrlProps/ctrlProp152.xml"/><Relationship Id="rId76" Type="http://schemas.openxmlformats.org/officeDocument/2006/relationships/ctrlProp" Target="../ctrlProps/ctrlProp173.xml"/><Relationship Id="rId97" Type="http://schemas.openxmlformats.org/officeDocument/2006/relationships/ctrlProp" Target="../ctrlProps/ctrlProp194.xml"/><Relationship Id="rId7" Type="http://schemas.openxmlformats.org/officeDocument/2006/relationships/ctrlProp" Target="../ctrlProps/ctrlProp104.xml"/><Relationship Id="rId71" Type="http://schemas.openxmlformats.org/officeDocument/2006/relationships/ctrlProp" Target="../ctrlProps/ctrlProp168.xml"/><Relationship Id="rId92" Type="http://schemas.openxmlformats.org/officeDocument/2006/relationships/ctrlProp" Target="../ctrlProps/ctrlProp1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26.xml"/><Relationship Id="rId24" Type="http://schemas.openxmlformats.org/officeDocument/2006/relationships/ctrlProp" Target="../ctrlProps/ctrlProp121.xml"/><Relationship Id="rId40" Type="http://schemas.openxmlformats.org/officeDocument/2006/relationships/ctrlProp" Target="../ctrlProps/ctrlProp137.xml"/><Relationship Id="rId45" Type="http://schemas.openxmlformats.org/officeDocument/2006/relationships/ctrlProp" Target="../ctrlProps/ctrlProp142.xml"/><Relationship Id="rId66" Type="http://schemas.openxmlformats.org/officeDocument/2006/relationships/ctrlProp" Target="../ctrlProps/ctrlProp163.xml"/><Relationship Id="rId87" Type="http://schemas.openxmlformats.org/officeDocument/2006/relationships/ctrlProp" Target="../ctrlProps/ctrlProp184.xml"/><Relationship Id="rId61" Type="http://schemas.openxmlformats.org/officeDocument/2006/relationships/ctrlProp" Target="../ctrlProps/ctrlProp158.xml"/><Relationship Id="rId82" Type="http://schemas.openxmlformats.org/officeDocument/2006/relationships/ctrlProp" Target="../ctrlProps/ctrlProp179.xml"/><Relationship Id="rId19" Type="http://schemas.openxmlformats.org/officeDocument/2006/relationships/ctrlProp" Target="../ctrlProps/ctrlProp116.xml"/><Relationship Id="rId14" Type="http://schemas.openxmlformats.org/officeDocument/2006/relationships/ctrlProp" Target="../ctrlProps/ctrlProp111.xml"/><Relationship Id="rId30" Type="http://schemas.openxmlformats.org/officeDocument/2006/relationships/ctrlProp" Target="../ctrlProps/ctrlProp127.xml"/><Relationship Id="rId35" Type="http://schemas.openxmlformats.org/officeDocument/2006/relationships/ctrlProp" Target="../ctrlProps/ctrlProp132.xml"/><Relationship Id="rId56" Type="http://schemas.openxmlformats.org/officeDocument/2006/relationships/ctrlProp" Target="../ctrlProps/ctrlProp153.xml"/><Relationship Id="rId77" Type="http://schemas.openxmlformats.org/officeDocument/2006/relationships/ctrlProp" Target="../ctrlProps/ctrlProp174.xml"/><Relationship Id="rId100" Type="http://schemas.openxmlformats.org/officeDocument/2006/relationships/ctrlProp" Target="../ctrlProps/ctrlProp197.xml"/><Relationship Id="rId8" Type="http://schemas.openxmlformats.org/officeDocument/2006/relationships/ctrlProp" Target="../ctrlProps/ctrlProp105.xml"/><Relationship Id="rId51" Type="http://schemas.openxmlformats.org/officeDocument/2006/relationships/ctrlProp" Target="../ctrlProps/ctrlProp148.xml"/><Relationship Id="rId72" Type="http://schemas.openxmlformats.org/officeDocument/2006/relationships/ctrlProp" Target="../ctrlProps/ctrlProp169.xml"/><Relationship Id="rId93" Type="http://schemas.openxmlformats.org/officeDocument/2006/relationships/ctrlProp" Target="../ctrlProps/ctrlProp190.xml"/><Relationship Id="rId98" Type="http://schemas.openxmlformats.org/officeDocument/2006/relationships/ctrlProp" Target="../ctrlProps/ctrlProp195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3.xml"/><Relationship Id="rId21" Type="http://schemas.openxmlformats.org/officeDocument/2006/relationships/ctrlProp" Target="../ctrlProps/ctrlProp218.xml"/><Relationship Id="rId42" Type="http://schemas.openxmlformats.org/officeDocument/2006/relationships/ctrlProp" Target="../ctrlProps/ctrlProp239.xml"/><Relationship Id="rId47" Type="http://schemas.openxmlformats.org/officeDocument/2006/relationships/ctrlProp" Target="../ctrlProps/ctrlProp244.xml"/><Relationship Id="rId63" Type="http://schemas.openxmlformats.org/officeDocument/2006/relationships/ctrlProp" Target="../ctrlProps/ctrlProp260.xml"/><Relationship Id="rId68" Type="http://schemas.openxmlformats.org/officeDocument/2006/relationships/ctrlProp" Target="../ctrlProps/ctrlProp265.xml"/><Relationship Id="rId84" Type="http://schemas.openxmlformats.org/officeDocument/2006/relationships/ctrlProp" Target="../ctrlProps/ctrlProp281.xml"/><Relationship Id="rId89" Type="http://schemas.openxmlformats.org/officeDocument/2006/relationships/ctrlProp" Target="../ctrlProps/ctrlProp286.xml"/><Relationship Id="rId16" Type="http://schemas.openxmlformats.org/officeDocument/2006/relationships/ctrlProp" Target="../ctrlProps/ctrlProp213.xml"/><Relationship Id="rId11" Type="http://schemas.openxmlformats.org/officeDocument/2006/relationships/ctrlProp" Target="../ctrlProps/ctrlProp208.xml"/><Relationship Id="rId32" Type="http://schemas.openxmlformats.org/officeDocument/2006/relationships/ctrlProp" Target="../ctrlProps/ctrlProp229.xml"/><Relationship Id="rId37" Type="http://schemas.openxmlformats.org/officeDocument/2006/relationships/ctrlProp" Target="../ctrlProps/ctrlProp234.xml"/><Relationship Id="rId53" Type="http://schemas.openxmlformats.org/officeDocument/2006/relationships/ctrlProp" Target="../ctrlProps/ctrlProp250.xml"/><Relationship Id="rId58" Type="http://schemas.openxmlformats.org/officeDocument/2006/relationships/ctrlProp" Target="../ctrlProps/ctrlProp255.xml"/><Relationship Id="rId74" Type="http://schemas.openxmlformats.org/officeDocument/2006/relationships/ctrlProp" Target="../ctrlProps/ctrlProp271.xml"/><Relationship Id="rId79" Type="http://schemas.openxmlformats.org/officeDocument/2006/relationships/ctrlProp" Target="../ctrlProps/ctrlProp276.xml"/><Relationship Id="rId102" Type="http://schemas.openxmlformats.org/officeDocument/2006/relationships/ctrlProp" Target="../ctrlProps/ctrlProp299.xml"/><Relationship Id="rId5" Type="http://schemas.openxmlformats.org/officeDocument/2006/relationships/ctrlProp" Target="../ctrlProps/ctrlProp202.xml"/><Relationship Id="rId90" Type="http://schemas.openxmlformats.org/officeDocument/2006/relationships/ctrlProp" Target="../ctrlProps/ctrlProp287.xml"/><Relationship Id="rId95" Type="http://schemas.openxmlformats.org/officeDocument/2006/relationships/ctrlProp" Target="../ctrlProps/ctrlProp292.xml"/><Relationship Id="rId22" Type="http://schemas.openxmlformats.org/officeDocument/2006/relationships/ctrlProp" Target="../ctrlProps/ctrlProp219.xml"/><Relationship Id="rId27" Type="http://schemas.openxmlformats.org/officeDocument/2006/relationships/ctrlProp" Target="../ctrlProps/ctrlProp224.xml"/><Relationship Id="rId43" Type="http://schemas.openxmlformats.org/officeDocument/2006/relationships/ctrlProp" Target="../ctrlProps/ctrlProp240.xml"/><Relationship Id="rId48" Type="http://schemas.openxmlformats.org/officeDocument/2006/relationships/ctrlProp" Target="../ctrlProps/ctrlProp245.xml"/><Relationship Id="rId64" Type="http://schemas.openxmlformats.org/officeDocument/2006/relationships/ctrlProp" Target="../ctrlProps/ctrlProp261.xml"/><Relationship Id="rId69" Type="http://schemas.openxmlformats.org/officeDocument/2006/relationships/ctrlProp" Target="../ctrlProps/ctrlProp266.xml"/><Relationship Id="rId80" Type="http://schemas.openxmlformats.org/officeDocument/2006/relationships/ctrlProp" Target="../ctrlProps/ctrlProp277.xml"/><Relationship Id="rId85" Type="http://schemas.openxmlformats.org/officeDocument/2006/relationships/ctrlProp" Target="../ctrlProps/ctrlProp282.xml"/><Relationship Id="rId12" Type="http://schemas.openxmlformats.org/officeDocument/2006/relationships/ctrlProp" Target="../ctrlProps/ctrlProp209.xml"/><Relationship Id="rId17" Type="http://schemas.openxmlformats.org/officeDocument/2006/relationships/ctrlProp" Target="../ctrlProps/ctrlProp214.xml"/><Relationship Id="rId25" Type="http://schemas.openxmlformats.org/officeDocument/2006/relationships/ctrlProp" Target="../ctrlProps/ctrlProp222.xml"/><Relationship Id="rId33" Type="http://schemas.openxmlformats.org/officeDocument/2006/relationships/ctrlProp" Target="../ctrlProps/ctrlProp230.xml"/><Relationship Id="rId38" Type="http://schemas.openxmlformats.org/officeDocument/2006/relationships/ctrlProp" Target="../ctrlProps/ctrlProp235.xml"/><Relationship Id="rId46" Type="http://schemas.openxmlformats.org/officeDocument/2006/relationships/ctrlProp" Target="../ctrlProps/ctrlProp243.xml"/><Relationship Id="rId59" Type="http://schemas.openxmlformats.org/officeDocument/2006/relationships/ctrlProp" Target="../ctrlProps/ctrlProp256.xml"/><Relationship Id="rId67" Type="http://schemas.openxmlformats.org/officeDocument/2006/relationships/ctrlProp" Target="../ctrlProps/ctrlProp264.xml"/><Relationship Id="rId103" Type="http://schemas.openxmlformats.org/officeDocument/2006/relationships/ctrlProp" Target="../ctrlProps/ctrlProp300.xml"/><Relationship Id="rId20" Type="http://schemas.openxmlformats.org/officeDocument/2006/relationships/ctrlProp" Target="../ctrlProps/ctrlProp217.xml"/><Relationship Id="rId41" Type="http://schemas.openxmlformats.org/officeDocument/2006/relationships/ctrlProp" Target="../ctrlProps/ctrlProp238.xml"/><Relationship Id="rId54" Type="http://schemas.openxmlformats.org/officeDocument/2006/relationships/ctrlProp" Target="../ctrlProps/ctrlProp251.xml"/><Relationship Id="rId62" Type="http://schemas.openxmlformats.org/officeDocument/2006/relationships/ctrlProp" Target="../ctrlProps/ctrlProp259.xml"/><Relationship Id="rId70" Type="http://schemas.openxmlformats.org/officeDocument/2006/relationships/ctrlProp" Target="../ctrlProps/ctrlProp267.xml"/><Relationship Id="rId75" Type="http://schemas.openxmlformats.org/officeDocument/2006/relationships/ctrlProp" Target="../ctrlProps/ctrlProp272.xml"/><Relationship Id="rId83" Type="http://schemas.openxmlformats.org/officeDocument/2006/relationships/ctrlProp" Target="../ctrlProps/ctrlProp280.xml"/><Relationship Id="rId88" Type="http://schemas.openxmlformats.org/officeDocument/2006/relationships/ctrlProp" Target="../ctrlProps/ctrlProp285.xml"/><Relationship Id="rId91" Type="http://schemas.openxmlformats.org/officeDocument/2006/relationships/ctrlProp" Target="../ctrlProps/ctrlProp288.xml"/><Relationship Id="rId96" Type="http://schemas.openxmlformats.org/officeDocument/2006/relationships/ctrlProp" Target="../ctrlProps/ctrlProp29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03.xml"/><Relationship Id="rId15" Type="http://schemas.openxmlformats.org/officeDocument/2006/relationships/ctrlProp" Target="../ctrlProps/ctrlProp212.xml"/><Relationship Id="rId23" Type="http://schemas.openxmlformats.org/officeDocument/2006/relationships/ctrlProp" Target="../ctrlProps/ctrlProp220.xml"/><Relationship Id="rId28" Type="http://schemas.openxmlformats.org/officeDocument/2006/relationships/ctrlProp" Target="../ctrlProps/ctrlProp225.xml"/><Relationship Id="rId36" Type="http://schemas.openxmlformats.org/officeDocument/2006/relationships/ctrlProp" Target="../ctrlProps/ctrlProp233.xml"/><Relationship Id="rId49" Type="http://schemas.openxmlformats.org/officeDocument/2006/relationships/ctrlProp" Target="../ctrlProps/ctrlProp246.xml"/><Relationship Id="rId57" Type="http://schemas.openxmlformats.org/officeDocument/2006/relationships/ctrlProp" Target="../ctrlProps/ctrlProp254.xml"/><Relationship Id="rId10" Type="http://schemas.openxmlformats.org/officeDocument/2006/relationships/ctrlProp" Target="../ctrlProps/ctrlProp207.xml"/><Relationship Id="rId31" Type="http://schemas.openxmlformats.org/officeDocument/2006/relationships/ctrlProp" Target="../ctrlProps/ctrlProp228.xml"/><Relationship Id="rId44" Type="http://schemas.openxmlformats.org/officeDocument/2006/relationships/ctrlProp" Target="../ctrlProps/ctrlProp241.xml"/><Relationship Id="rId52" Type="http://schemas.openxmlformats.org/officeDocument/2006/relationships/ctrlProp" Target="../ctrlProps/ctrlProp249.xml"/><Relationship Id="rId60" Type="http://schemas.openxmlformats.org/officeDocument/2006/relationships/ctrlProp" Target="../ctrlProps/ctrlProp257.xml"/><Relationship Id="rId65" Type="http://schemas.openxmlformats.org/officeDocument/2006/relationships/ctrlProp" Target="../ctrlProps/ctrlProp262.xml"/><Relationship Id="rId73" Type="http://schemas.openxmlformats.org/officeDocument/2006/relationships/ctrlProp" Target="../ctrlProps/ctrlProp270.xml"/><Relationship Id="rId78" Type="http://schemas.openxmlformats.org/officeDocument/2006/relationships/ctrlProp" Target="../ctrlProps/ctrlProp275.xml"/><Relationship Id="rId81" Type="http://schemas.openxmlformats.org/officeDocument/2006/relationships/ctrlProp" Target="../ctrlProps/ctrlProp278.xml"/><Relationship Id="rId86" Type="http://schemas.openxmlformats.org/officeDocument/2006/relationships/ctrlProp" Target="../ctrlProps/ctrlProp283.xml"/><Relationship Id="rId94" Type="http://schemas.openxmlformats.org/officeDocument/2006/relationships/ctrlProp" Target="../ctrlProps/ctrlProp291.xml"/><Relationship Id="rId99" Type="http://schemas.openxmlformats.org/officeDocument/2006/relationships/ctrlProp" Target="../ctrlProps/ctrlProp296.xml"/><Relationship Id="rId101" Type="http://schemas.openxmlformats.org/officeDocument/2006/relationships/ctrlProp" Target="../ctrlProps/ctrlProp298.xml"/><Relationship Id="rId4" Type="http://schemas.openxmlformats.org/officeDocument/2006/relationships/ctrlProp" Target="../ctrlProps/ctrlProp201.xml"/><Relationship Id="rId9" Type="http://schemas.openxmlformats.org/officeDocument/2006/relationships/ctrlProp" Target="../ctrlProps/ctrlProp206.xml"/><Relationship Id="rId13" Type="http://schemas.openxmlformats.org/officeDocument/2006/relationships/ctrlProp" Target="../ctrlProps/ctrlProp210.xml"/><Relationship Id="rId18" Type="http://schemas.openxmlformats.org/officeDocument/2006/relationships/ctrlProp" Target="../ctrlProps/ctrlProp215.xml"/><Relationship Id="rId39" Type="http://schemas.openxmlformats.org/officeDocument/2006/relationships/ctrlProp" Target="../ctrlProps/ctrlProp236.xml"/><Relationship Id="rId34" Type="http://schemas.openxmlformats.org/officeDocument/2006/relationships/ctrlProp" Target="../ctrlProps/ctrlProp231.xml"/><Relationship Id="rId50" Type="http://schemas.openxmlformats.org/officeDocument/2006/relationships/ctrlProp" Target="../ctrlProps/ctrlProp247.xml"/><Relationship Id="rId55" Type="http://schemas.openxmlformats.org/officeDocument/2006/relationships/ctrlProp" Target="../ctrlProps/ctrlProp252.xml"/><Relationship Id="rId76" Type="http://schemas.openxmlformats.org/officeDocument/2006/relationships/ctrlProp" Target="../ctrlProps/ctrlProp273.xml"/><Relationship Id="rId97" Type="http://schemas.openxmlformats.org/officeDocument/2006/relationships/ctrlProp" Target="../ctrlProps/ctrlProp294.xml"/><Relationship Id="rId7" Type="http://schemas.openxmlformats.org/officeDocument/2006/relationships/ctrlProp" Target="../ctrlProps/ctrlProp204.xml"/><Relationship Id="rId71" Type="http://schemas.openxmlformats.org/officeDocument/2006/relationships/ctrlProp" Target="../ctrlProps/ctrlProp268.xml"/><Relationship Id="rId92" Type="http://schemas.openxmlformats.org/officeDocument/2006/relationships/ctrlProp" Target="../ctrlProps/ctrlProp28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26.xml"/><Relationship Id="rId24" Type="http://schemas.openxmlformats.org/officeDocument/2006/relationships/ctrlProp" Target="../ctrlProps/ctrlProp221.xml"/><Relationship Id="rId40" Type="http://schemas.openxmlformats.org/officeDocument/2006/relationships/ctrlProp" Target="../ctrlProps/ctrlProp237.xml"/><Relationship Id="rId45" Type="http://schemas.openxmlformats.org/officeDocument/2006/relationships/ctrlProp" Target="../ctrlProps/ctrlProp242.xml"/><Relationship Id="rId66" Type="http://schemas.openxmlformats.org/officeDocument/2006/relationships/ctrlProp" Target="../ctrlProps/ctrlProp263.xml"/><Relationship Id="rId87" Type="http://schemas.openxmlformats.org/officeDocument/2006/relationships/ctrlProp" Target="../ctrlProps/ctrlProp284.xml"/><Relationship Id="rId61" Type="http://schemas.openxmlformats.org/officeDocument/2006/relationships/ctrlProp" Target="../ctrlProps/ctrlProp258.xml"/><Relationship Id="rId82" Type="http://schemas.openxmlformats.org/officeDocument/2006/relationships/ctrlProp" Target="../ctrlProps/ctrlProp279.xml"/><Relationship Id="rId19" Type="http://schemas.openxmlformats.org/officeDocument/2006/relationships/ctrlProp" Target="../ctrlProps/ctrlProp216.xml"/><Relationship Id="rId14" Type="http://schemas.openxmlformats.org/officeDocument/2006/relationships/ctrlProp" Target="../ctrlProps/ctrlProp211.xml"/><Relationship Id="rId30" Type="http://schemas.openxmlformats.org/officeDocument/2006/relationships/ctrlProp" Target="../ctrlProps/ctrlProp227.xml"/><Relationship Id="rId35" Type="http://schemas.openxmlformats.org/officeDocument/2006/relationships/ctrlProp" Target="../ctrlProps/ctrlProp232.xml"/><Relationship Id="rId56" Type="http://schemas.openxmlformats.org/officeDocument/2006/relationships/ctrlProp" Target="../ctrlProps/ctrlProp253.xml"/><Relationship Id="rId77" Type="http://schemas.openxmlformats.org/officeDocument/2006/relationships/ctrlProp" Target="../ctrlProps/ctrlProp274.xml"/><Relationship Id="rId100" Type="http://schemas.openxmlformats.org/officeDocument/2006/relationships/ctrlProp" Target="../ctrlProps/ctrlProp297.xml"/><Relationship Id="rId8" Type="http://schemas.openxmlformats.org/officeDocument/2006/relationships/ctrlProp" Target="../ctrlProps/ctrlProp205.xml"/><Relationship Id="rId51" Type="http://schemas.openxmlformats.org/officeDocument/2006/relationships/ctrlProp" Target="../ctrlProps/ctrlProp248.xml"/><Relationship Id="rId72" Type="http://schemas.openxmlformats.org/officeDocument/2006/relationships/ctrlProp" Target="../ctrlProps/ctrlProp269.xml"/><Relationship Id="rId93" Type="http://schemas.openxmlformats.org/officeDocument/2006/relationships/ctrlProp" Target="../ctrlProps/ctrlProp290.xml"/><Relationship Id="rId98" Type="http://schemas.openxmlformats.org/officeDocument/2006/relationships/ctrlProp" Target="../ctrlProps/ctrlProp295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23.xml"/><Relationship Id="rId21" Type="http://schemas.openxmlformats.org/officeDocument/2006/relationships/ctrlProp" Target="../ctrlProps/ctrlProp318.xml"/><Relationship Id="rId42" Type="http://schemas.openxmlformats.org/officeDocument/2006/relationships/ctrlProp" Target="../ctrlProps/ctrlProp339.xml"/><Relationship Id="rId47" Type="http://schemas.openxmlformats.org/officeDocument/2006/relationships/ctrlProp" Target="../ctrlProps/ctrlProp344.xml"/><Relationship Id="rId63" Type="http://schemas.openxmlformats.org/officeDocument/2006/relationships/ctrlProp" Target="../ctrlProps/ctrlProp360.xml"/><Relationship Id="rId68" Type="http://schemas.openxmlformats.org/officeDocument/2006/relationships/ctrlProp" Target="../ctrlProps/ctrlProp365.xml"/><Relationship Id="rId84" Type="http://schemas.openxmlformats.org/officeDocument/2006/relationships/ctrlProp" Target="../ctrlProps/ctrlProp381.xml"/><Relationship Id="rId89" Type="http://schemas.openxmlformats.org/officeDocument/2006/relationships/ctrlProp" Target="../ctrlProps/ctrlProp386.xml"/><Relationship Id="rId16" Type="http://schemas.openxmlformats.org/officeDocument/2006/relationships/ctrlProp" Target="../ctrlProps/ctrlProp313.xml"/><Relationship Id="rId11" Type="http://schemas.openxmlformats.org/officeDocument/2006/relationships/ctrlProp" Target="../ctrlProps/ctrlProp308.xml"/><Relationship Id="rId32" Type="http://schemas.openxmlformats.org/officeDocument/2006/relationships/ctrlProp" Target="../ctrlProps/ctrlProp329.xml"/><Relationship Id="rId37" Type="http://schemas.openxmlformats.org/officeDocument/2006/relationships/ctrlProp" Target="../ctrlProps/ctrlProp334.xml"/><Relationship Id="rId53" Type="http://schemas.openxmlformats.org/officeDocument/2006/relationships/ctrlProp" Target="../ctrlProps/ctrlProp350.xml"/><Relationship Id="rId58" Type="http://schemas.openxmlformats.org/officeDocument/2006/relationships/ctrlProp" Target="../ctrlProps/ctrlProp355.xml"/><Relationship Id="rId74" Type="http://schemas.openxmlformats.org/officeDocument/2006/relationships/ctrlProp" Target="../ctrlProps/ctrlProp371.xml"/><Relationship Id="rId79" Type="http://schemas.openxmlformats.org/officeDocument/2006/relationships/ctrlProp" Target="../ctrlProps/ctrlProp376.xml"/><Relationship Id="rId102" Type="http://schemas.openxmlformats.org/officeDocument/2006/relationships/ctrlProp" Target="../ctrlProps/ctrlProp399.xml"/><Relationship Id="rId5" Type="http://schemas.openxmlformats.org/officeDocument/2006/relationships/ctrlProp" Target="../ctrlProps/ctrlProp302.xml"/><Relationship Id="rId90" Type="http://schemas.openxmlformats.org/officeDocument/2006/relationships/ctrlProp" Target="../ctrlProps/ctrlProp387.xml"/><Relationship Id="rId95" Type="http://schemas.openxmlformats.org/officeDocument/2006/relationships/ctrlProp" Target="../ctrlProps/ctrlProp392.xml"/><Relationship Id="rId22" Type="http://schemas.openxmlformats.org/officeDocument/2006/relationships/ctrlProp" Target="../ctrlProps/ctrlProp319.xml"/><Relationship Id="rId27" Type="http://schemas.openxmlformats.org/officeDocument/2006/relationships/ctrlProp" Target="../ctrlProps/ctrlProp324.xml"/><Relationship Id="rId43" Type="http://schemas.openxmlformats.org/officeDocument/2006/relationships/ctrlProp" Target="../ctrlProps/ctrlProp340.xml"/><Relationship Id="rId48" Type="http://schemas.openxmlformats.org/officeDocument/2006/relationships/ctrlProp" Target="../ctrlProps/ctrlProp345.xml"/><Relationship Id="rId64" Type="http://schemas.openxmlformats.org/officeDocument/2006/relationships/ctrlProp" Target="../ctrlProps/ctrlProp361.xml"/><Relationship Id="rId69" Type="http://schemas.openxmlformats.org/officeDocument/2006/relationships/ctrlProp" Target="../ctrlProps/ctrlProp366.xml"/><Relationship Id="rId80" Type="http://schemas.openxmlformats.org/officeDocument/2006/relationships/ctrlProp" Target="../ctrlProps/ctrlProp377.xml"/><Relationship Id="rId85" Type="http://schemas.openxmlformats.org/officeDocument/2006/relationships/ctrlProp" Target="../ctrlProps/ctrlProp382.xml"/><Relationship Id="rId12" Type="http://schemas.openxmlformats.org/officeDocument/2006/relationships/ctrlProp" Target="../ctrlProps/ctrlProp309.xml"/><Relationship Id="rId17" Type="http://schemas.openxmlformats.org/officeDocument/2006/relationships/ctrlProp" Target="../ctrlProps/ctrlProp314.xml"/><Relationship Id="rId25" Type="http://schemas.openxmlformats.org/officeDocument/2006/relationships/ctrlProp" Target="../ctrlProps/ctrlProp322.xml"/><Relationship Id="rId33" Type="http://schemas.openxmlformats.org/officeDocument/2006/relationships/ctrlProp" Target="../ctrlProps/ctrlProp330.xml"/><Relationship Id="rId38" Type="http://schemas.openxmlformats.org/officeDocument/2006/relationships/ctrlProp" Target="../ctrlProps/ctrlProp335.xml"/><Relationship Id="rId46" Type="http://schemas.openxmlformats.org/officeDocument/2006/relationships/ctrlProp" Target="../ctrlProps/ctrlProp343.xml"/><Relationship Id="rId59" Type="http://schemas.openxmlformats.org/officeDocument/2006/relationships/ctrlProp" Target="../ctrlProps/ctrlProp356.xml"/><Relationship Id="rId67" Type="http://schemas.openxmlformats.org/officeDocument/2006/relationships/ctrlProp" Target="../ctrlProps/ctrlProp364.xml"/><Relationship Id="rId103" Type="http://schemas.openxmlformats.org/officeDocument/2006/relationships/ctrlProp" Target="../ctrlProps/ctrlProp400.xml"/><Relationship Id="rId20" Type="http://schemas.openxmlformats.org/officeDocument/2006/relationships/ctrlProp" Target="../ctrlProps/ctrlProp317.xml"/><Relationship Id="rId41" Type="http://schemas.openxmlformats.org/officeDocument/2006/relationships/ctrlProp" Target="../ctrlProps/ctrlProp338.xml"/><Relationship Id="rId54" Type="http://schemas.openxmlformats.org/officeDocument/2006/relationships/ctrlProp" Target="../ctrlProps/ctrlProp351.xml"/><Relationship Id="rId62" Type="http://schemas.openxmlformats.org/officeDocument/2006/relationships/ctrlProp" Target="../ctrlProps/ctrlProp359.xml"/><Relationship Id="rId70" Type="http://schemas.openxmlformats.org/officeDocument/2006/relationships/ctrlProp" Target="../ctrlProps/ctrlProp367.xml"/><Relationship Id="rId75" Type="http://schemas.openxmlformats.org/officeDocument/2006/relationships/ctrlProp" Target="../ctrlProps/ctrlProp372.xml"/><Relationship Id="rId83" Type="http://schemas.openxmlformats.org/officeDocument/2006/relationships/ctrlProp" Target="../ctrlProps/ctrlProp380.xml"/><Relationship Id="rId88" Type="http://schemas.openxmlformats.org/officeDocument/2006/relationships/ctrlProp" Target="../ctrlProps/ctrlProp385.xml"/><Relationship Id="rId91" Type="http://schemas.openxmlformats.org/officeDocument/2006/relationships/ctrlProp" Target="../ctrlProps/ctrlProp388.xml"/><Relationship Id="rId96" Type="http://schemas.openxmlformats.org/officeDocument/2006/relationships/ctrlProp" Target="../ctrlProps/ctrlProp39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03.xml"/><Relationship Id="rId15" Type="http://schemas.openxmlformats.org/officeDocument/2006/relationships/ctrlProp" Target="../ctrlProps/ctrlProp312.xml"/><Relationship Id="rId23" Type="http://schemas.openxmlformats.org/officeDocument/2006/relationships/ctrlProp" Target="../ctrlProps/ctrlProp320.xml"/><Relationship Id="rId28" Type="http://schemas.openxmlformats.org/officeDocument/2006/relationships/ctrlProp" Target="../ctrlProps/ctrlProp325.xml"/><Relationship Id="rId36" Type="http://schemas.openxmlformats.org/officeDocument/2006/relationships/ctrlProp" Target="../ctrlProps/ctrlProp333.xml"/><Relationship Id="rId49" Type="http://schemas.openxmlformats.org/officeDocument/2006/relationships/ctrlProp" Target="../ctrlProps/ctrlProp346.xml"/><Relationship Id="rId57" Type="http://schemas.openxmlformats.org/officeDocument/2006/relationships/ctrlProp" Target="../ctrlProps/ctrlProp354.xml"/><Relationship Id="rId10" Type="http://schemas.openxmlformats.org/officeDocument/2006/relationships/ctrlProp" Target="../ctrlProps/ctrlProp307.xml"/><Relationship Id="rId31" Type="http://schemas.openxmlformats.org/officeDocument/2006/relationships/ctrlProp" Target="../ctrlProps/ctrlProp328.xml"/><Relationship Id="rId44" Type="http://schemas.openxmlformats.org/officeDocument/2006/relationships/ctrlProp" Target="../ctrlProps/ctrlProp341.xml"/><Relationship Id="rId52" Type="http://schemas.openxmlformats.org/officeDocument/2006/relationships/ctrlProp" Target="../ctrlProps/ctrlProp349.xml"/><Relationship Id="rId60" Type="http://schemas.openxmlformats.org/officeDocument/2006/relationships/ctrlProp" Target="../ctrlProps/ctrlProp357.xml"/><Relationship Id="rId65" Type="http://schemas.openxmlformats.org/officeDocument/2006/relationships/ctrlProp" Target="../ctrlProps/ctrlProp362.xml"/><Relationship Id="rId73" Type="http://schemas.openxmlformats.org/officeDocument/2006/relationships/ctrlProp" Target="../ctrlProps/ctrlProp370.xml"/><Relationship Id="rId78" Type="http://schemas.openxmlformats.org/officeDocument/2006/relationships/ctrlProp" Target="../ctrlProps/ctrlProp375.xml"/><Relationship Id="rId81" Type="http://schemas.openxmlformats.org/officeDocument/2006/relationships/ctrlProp" Target="../ctrlProps/ctrlProp378.xml"/><Relationship Id="rId86" Type="http://schemas.openxmlformats.org/officeDocument/2006/relationships/ctrlProp" Target="../ctrlProps/ctrlProp383.xml"/><Relationship Id="rId94" Type="http://schemas.openxmlformats.org/officeDocument/2006/relationships/ctrlProp" Target="../ctrlProps/ctrlProp391.xml"/><Relationship Id="rId99" Type="http://schemas.openxmlformats.org/officeDocument/2006/relationships/ctrlProp" Target="../ctrlProps/ctrlProp396.xml"/><Relationship Id="rId101" Type="http://schemas.openxmlformats.org/officeDocument/2006/relationships/ctrlProp" Target="../ctrlProps/ctrlProp398.xml"/><Relationship Id="rId4" Type="http://schemas.openxmlformats.org/officeDocument/2006/relationships/ctrlProp" Target="../ctrlProps/ctrlProp301.xml"/><Relationship Id="rId9" Type="http://schemas.openxmlformats.org/officeDocument/2006/relationships/ctrlProp" Target="../ctrlProps/ctrlProp306.xml"/><Relationship Id="rId13" Type="http://schemas.openxmlformats.org/officeDocument/2006/relationships/ctrlProp" Target="../ctrlProps/ctrlProp310.xml"/><Relationship Id="rId18" Type="http://schemas.openxmlformats.org/officeDocument/2006/relationships/ctrlProp" Target="../ctrlProps/ctrlProp315.xml"/><Relationship Id="rId39" Type="http://schemas.openxmlformats.org/officeDocument/2006/relationships/ctrlProp" Target="../ctrlProps/ctrlProp336.xml"/><Relationship Id="rId34" Type="http://schemas.openxmlformats.org/officeDocument/2006/relationships/ctrlProp" Target="../ctrlProps/ctrlProp331.xml"/><Relationship Id="rId50" Type="http://schemas.openxmlformats.org/officeDocument/2006/relationships/ctrlProp" Target="../ctrlProps/ctrlProp347.xml"/><Relationship Id="rId55" Type="http://schemas.openxmlformats.org/officeDocument/2006/relationships/ctrlProp" Target="../ctrlProps/ctrlProp352.xml"/><Relationship Id="rId76" Type="http://schemas.openxmlformats.org/officeDocument/2006/relationships/ctrlProp" Target="../ctrlProps/ctrlProp373.xml"/><Relationship Id="rId97" Type="http://schemas.openxmlformats.org/officeDocument/2006/relationships/ctrlProp" Target="../ctrlProps/ctrlProp394.xml"/><Relationship Id="rId7" Type="http://schemas.openxmlformats.org/officeDocument/2006/relationships/ctrlProp" Target="../ctrlProps/ctrlProp304.xml"/><Relationship Id="rId71" Type="http://schemas.openxmlformats.org/officeDocument/2006/relationships/ctrlProp" Target="../ctrlProps/ctrlProp368.xml"/><Relationship Id="rId92" Type="http://schemas.openxmlformats.org/officeDocument/2006/relationships/ctrlProp" Target="../ctrlProps/ctrlProp3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326.xml"/><Relationship Id="rId24" Type="http://schemas.openxmlformats.org/officeDocument/2006/relationships/ctrlProp" Target="../ctrlProps/ctrlProp321.xml"/><Relationship Id="rId40" Type="http://schemas.openxmlformats.org/officeDocument/2006/relationships/ctrlProp" Target="../ctrlProps/ctrlProp337.xml"/><Relationship Id="rId45" Type="http://schemas.openxmlformats.org/officeDocument/2006/relationships/ctrlProp" Target="../ctrlProps/ctrlProp342.xml"/><Relationship Id="rId66" Type="http://schemas.openxmlformats.org/officeDocument/2006/relationships/ctrlProp" Target="../ctrlProps/ctrlProp363.xml"/><Relationship Id="rId87" Type="http://schemas.openxmlformats.org/officeDocument/2006/relationships/ctrlProp" Target="../ctrlProps/ctrlProp384.xml"/><Relationship Id="rId61" Type="http://schemas.openxmlformats.org/officeDocument/2006/relationships/ctrlProp" Target="../ctrlProps/ctrlProp358.xml"/><Relationship Id="rId82" Type="http://schemas.openxmlformats.org/officeDocument/2006/relationships/ctrlProp" Target="../ctrlProps/ctrlProp379.xml"/><Relationship Id="rId19" Type="http://schemas.openxmlformats.org/officeDocument/2006/relationships/ctrlProp" Target="../ctrlProps/ctrlProp316.xml"/><Relationship Id="rId14" Type="http://schemas.openxmlformats.org/officeDocument/2006/relationships/ctrlProp" Target="../ctrlProps/ctrlProp311.xml"/><Relationship Id="rId30" Type="http://schemas.openxmlformats.org/officeDocument/2006/relationships/ctrlProp" Target="../ctrlProps/ctrlProp327.xml"/><Relationship Id="rId35" Type="http://schemas.openxmlformats.org/officeDocument/2006/relationships/ctrlProp" Target="../ctrlProps/ctrlProp332.xml"/><Relationship Id="rId56" Type="http://schemas.openxmlformats.org/officeDocument/2006/relationships/ctrlProp" Target="../ctrlProps/ctrlProp353.xml"/><Relationship Id="rId77" Type="http://schemas.openxmlformats.org/officeDocument/2006/relationships/ctrlProp" Target="../ctrlProps/ctrlProp374.xml"/><Relationship Id="rId100" Type="http://schemas.openxmlformats.org/officeDocument/2006/relationships/ctrlProp" Target="../ctrlProps/ctrlProp397.xml"/><Relationship Id="rId8" Type="http://schemas.openxmlformats.org/officeDocument/2006/relationships/ctrlProp" Target="../ctrlProps/ctrlProp305.xml"/><Relationship Id="rId51" Type="http://schemas.openxmlformats.org/officeDocument/2006/relationships/ctrlProp" Target="../ctrlProps/ctrlProp348.xml"/><Relationship Id="rId72" Type="http://schemas.openxmlformats.org/officeDocument/2006/relationships/ctrlProp" Target="../ctrlProps/ctrlProp369.xml"/><Relationship Id="rId93" Type="http://schemas.openxmlformats.org/officeDocument/2006/relationships/ctrlProp" Target="../ctrlProps/ctrlProp390.xml"/><Relationship Id="rId98" Type="http://schemas.openxmlformats.org/officeDocument/2006/relationships/ctrlProp" Target="../ctrlProps/ctrlProp395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423.xml"/><Relationship Id="rId21" Type="http://schemas.openxmlformats.org/officeDocument/2006/relationships/ctrlProp" Target="../ctrlProps/ctrlProp418.xml"/><Relationship Id="rId42" Type="http://schemas.openxmlformats.org/officeDocument/2006/relationships/ctrlProp" Target="../ctrlProps/ctrlProp439.xml"/><Relationship Id="rId47" Type="http://schemas.openxmlformats.org/officeDocument/2006/relationships/ctrlProp" Target="../ctrlProps/ctrlProp444.xml"/><Relationship Id="rId63" Type="http://schemas.openxmlformats.org/officeDocument/2006/relationships/ctrlProp" Target="../ctrlProps/ctrlProp460.xml"/><Relationship Id="rId68" Type="http://schemas.openxmlformats.org/officeDocument/2006/relationships/ctrlProp" Target="../ctrlProps/ctrlProp465.xml"/><Relationship Id="rId84" Type="http://schemas.openxmlformats.org/officeDocument/2006/relationships/ctrlProp" Target="../ctrlProps/ctrlProp481.xml"/><Relationship Id="rId89" Type="http://schemas.openxmlformats.org/officeDocument/2006/relationships/ctrlProp" Target="../ctrlProps/ctrlProp486.xml"/><Relationship Id="rId16" Type="http://schemas.openxmlformats.org/officeDocument/2006/relationships/ctrlProp" Target="../ctrlProps/ctrlProp413.xml"/><Relationship Id="rId11" Type="http://schemas.openxmlformats.org/officeDocument/2006/relationships/ctrlProp" Target="../ctrlProps/ctrlProp408.xml"/><Relationship Id="rId32" Type="http://schemas.openxmlformats.org/officeDocument/2006/relationships/ctrlProp" Target="../ctrlProps/ctrlProp429.xml"/><Relationship Id="rId37" Type="http://schemas.openxmlformats.org/officeDocument/2006/relationships/ctrlProp" Target="../ctrlProps/ctrlProp434.xml"/><Relationship Id="rId53" Type="http://schemas.openxmlformats.org/officeDocument/2006/relationships/ctrlProp" Target="../ctrlProps/ctrlProp450.xml"/><Relationship Id="rId58" Type="http://schemas.openxmlformats.org/officeDocument/2006/relationships/ctrlProp" Target="../ctrlProps/ctrlProp455.xml"/><Relationship Id="rId74" Type="http://schemas.openxmlformats.org/officeDocument/2006/relationships/ctrlProp" Target="../ctrlProps/ctrlProp471.xml"/><Relationship Id="rId79" Type="http://schemas.openxmlformats.org/officeDocument/2006/relationships/ctrlProp" Target="../ctrlProps/ctrlProp476.xml"/><Relationship Id="rId102" Type="http://schemas.openxmlformats.org/officeDocument/2006/relationships/ctrlProp" Target="../ctrlProps/ctrlProp499.xml"/><Relationship Id="rId5" Type="http://schemas.openxmlformats.org/officeDocument/2006/relationships/ctrlProp" Target="../ctrlProps/ctrlProp402.xml"/><Relationship Id="rId90" Type="http://schemas.openxmlformats.org/officeDocument/2006/relationships/ctrlProp" Target="../ctrlProps/ctrlProp487.xml"/><Relationship Id="rId95" Type="http://schemas.openxmlformats.org/officeDocument/2006/relationships/ctrlProp" Target="../ctrlProps/ctrlProp492.xml"/><Relationship Id="rId22" Type="http://schemas.openxmlformats.org/officeDocument/2006/relationships/ctrlProp" Target="../ctrlProps/ctrlProp419.xml"/><Relationship Id="rId27" Type="http://schemas.openxmlformats.org/officeDocument/2006/relationships/ctrlProp" Target="../ctrlProps/ctrlProp424.xml"/><Relationship Id="rId43" Type="http://schemas.openxmlformats.org/officeDocument/2006/relationships/ctrlProp" Target="../ctrlProps/ctrlProp440.xml"/><Relationship Id="rId48" Type="http://schemas.openxmlformats.org/officeDocument/2006/relationships/ctrlProp" Target="../ctrlProps/ctrlProp445.xml"/><Relationship Id="rId64" Type="http://schemas.openxmlformats.org/officeDocument/2006/relationships/ctrlProp" Target="../ctrlProps/ctrlProp461.xml"/><Relationship Id="rId69" Type="http://schemas.openxmlformats.org/officeDocument/2006/relationships/ctrlProp" Target="../ctrlProps/ctrlProp466.xml"/><Relationship Id="rId80" Type="http://schemas.openxmlformats.org/officeDocument/2006/relationships/ctrlProp" Target="../ctrlProps/ctrlProp477.xml"/><Relationship Id="rId85" Type="http://schemas.openxmlformats.org/officeDocument/2006/relationships/ctrlProp" Target="../ctrlProps/ctrlProp482.xml"/><Relationship Id="rId12" Type="http://schemas.openxmlformats.org/officeDocument/2006/relationships/ctrlProp" Target="../ctrlProps/ctrlProp409.xml"/><Relationship Id="rId17" Type="http://schemas.openxmlformats.org/officeDocument/2006/relationships/ctrlProp" Target="../ctrlProps/ctrlProp414.xml"/><Relationship Id="rId25" Type="http://schemas.openxmlformats.org/officeDocument/2006/relationships/ctrlProp" Target="../ctrlProps/ctrlProp422.xml"/><Relationship Id="rId33" Type="http://schemas.openxmlformats.org/officeDocument/2006/relationships/ctrlProp" Target="../ctrlProps/ctrlProp430.xml"/><Relationship Id="rId38" Type="http://schemas.openxmlformats.org/officeDocument/2006/relationships/ctrlProp" Target="../ctrlProps/ctrlProp435.xml"/><Relationship Id="rId46" Type="http://schemas.openxmlformats.org/officeDocument/2006/relationships/ctrlProp" Target="../ctrlProps/ctrlProp443.xml"/><Relationship Id="rId59" Type="http://schemas.openxmlformats.org/officeDocument/2006/relationships/ctrlProp" Target="../ctrlProps/ctrlProp456.xml"/><Relationship Id="rId67" Type="http://schemas.openxmlformats.org/officeDocument/2006/relationships/ctrlProp" Target="../ctrlProps/ctrlProp464.xml"/><Relationship Id="rId103" Type="http://schemas.openxmlformats.org/officeDocument/2006/relationships/ctrlProp" Target="../ctrlProps/ctrlProp500.xml"/><Relationship Id="rId20" Type="http://schemas.openxmlformats.org/officeDocument/2006/relationships/ctrlProp" Target="../ctrlProps/ctrlProp417.xml"/><Relationship Id="rId41" Type="http://schemas.openxmlformats.org/officeDocument/2006/relationships/ctrlProp" Target="../ctrlProps/ctrlProp438.xml"/><Relationship Id="rId54" Type="http://schemas.openxmlformats.org/officeDocument/2006/relationships/ctrlProp" Target="../ctrlProps/ctrlProp451.xml"/><Relationship Id="rId62" Type="http://schemas.openxmlformats.org/officeDocument/2006/relationships/ctrlProp" Target="../ctrlProps/ctrlProp459.xml"/><Relationship Id="rId70" Type="http://schemas.openxmlformats.org/officeDocument/2006/relationships/ctrlProp" Target="../ctrlProps/ctrlProp467.xml"/><Relationship Id="rId75" Type="http://schemas.openxmlformats.org/officeDocument/2006/relationships/ctrlProp" Target="../ctrlProps/ctrlProp472.xml"/><Relationship Id="rId83" Type="http://schemas.openxmlformats.org/officeDocument/2006/relationships/ctrlProp" Target="../ctrlProps/ctrlProp480.xml"/><Relationship Id="rId88" Type="http://schemas.openxmlformats.org/officeDocument/2006/relationships/ctrlProp" Target="../ctrlProps/ctrlProp485.xml"/><Relationship Id="rId91" Type="http://schemas.openxmlformats.org/officeDocument/2006/relationships/ctrlProp" Target="../ctrlProps/ctrlProp488.xml"/><Relationship Id="rId96" Type="http://schemas.openxmlformats.org/officeDocument/2006/relationships/ctrlProp" Target="../ctrlProps/ctrlProp49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03.xml"/><Relationship Id="rId15" Type="http://schemas.openxmlformats.org/officeDocument/2006/relationships/ctrlProp" Target="../ctrlProps/ctrlProp412.xml"/><Relationship Id="rId23" Type="http://schemas.openxmlformats.org/officeDocument/2006/relationships/ctrlProp" Target="../ctrlProps/ctrlProp420.xml"/><Relationship Id="rId28" Type="http://schemas.openxmlformats.org/officeDocument/2006/relationships/ctrlProp" Target="../ctrlProps/ctrlProp425.xml"/><Relationship Id="rId36" Type="http://schemas.openxmlformats.org/officeDocument/2006/relationships/ctrlProp" Target="../ctrlProps/ctrlProp433.xml"/><Relationship Id="rId49" Type="http://schemas.openxmlformats.org/officeDocument/2006/relationships/ctrlProp" Target="../ctrlProps/ctrlProp446.xml"/><Relationship Id="rId57" Type="http://schemas.openxmlformats.org/officeDocument/2006/relationships/ctrlProp" Target="../ctrlProps/ctrlProp454.xml"/><Relationship Id="rId10" Type="http://schemas.openxmlformats.org/officeDocument/2006/relationships/ctrlProp" Target="../ctrlProps/ctrlProp407.xml"/><Relationship Id="rId31" Type="http://schemas.openxmlformats.org/officeDocument/2006/relationships/ctrlProp" Target="../ctrlProps/ctrlProp428.xml"/><Relationship Id="rId44" Type="http://schemas.openxmlformats.org/officeDocument/2006/relationships/ctrlProp" Target="../ctrlProps/ctrlProp441.xml"/><Relationship Id="rId52" Type="http://schemas.openxmlformats.org/officeDocument/2006/relationships/ctrlProp" Target="../ctrlProps/ctrlProp449.xml"/><Relationship Id="rId60" Type="http://schemas.openxmlformats.org/officeDocument/2006/relationships/ctrlProp" Target="../ctrlProps/ctrlProp457.xml"/><Relationship Id="rId65" Type="http://schemas.openxmlformats.org/officeDocument/2006/relationships/ctrlProp" Target="../ctrlProps/ctrlProp462.xml"/><Relationship Id="rId73" Type="http://schemas.openxmlformats.org/officeDocument/2006/relationships/ctrlProp" Target="../ctrlProps/ctrlProp470.xml"/><Relationship Id="rId78" Type="http://schemas.openxmlformats.org/officeDocument/2006/relationships/ctrlProp" Target="../ctrlProps/ctrlProp475.xml"/><Relationship Id="rId81" Type="http://schemas.openxmlformats.org/officeDocument/2006/relationships/ctrlProp" Target="../ctrlProps/ctrlProp478.xml"/><Relationship Id="rId86" Type="http://schemas.openxmlformats.org/officeDocument/2006/relationships/ctrlProp" Target="../ctrlProps/ctrlProp483.xml"/><Relationship Id="rId94" Type="http://schemas.openxmlformats.org/officeDocument/2006/relationships/ctrlProp" Target="../ctrlProps/ctrlProp491.xml"/><Relationship Id="rId99" Type="http://schemas.openxmlformats.org/officeDocument/2006/relationships/ctrlProp" Target="../ctrlProps/ctrlProp496.xml"/><Relationship Id="rId101" Type="http://schemas.openxmlformats.org/officeDocument/2006/relationships/ctrlProp" Target="../ctrlProps/ctrlProp498.xml"/><Relationship Id="rId4" Type="http://schemas.openxmlformats.org/officeDocument/2006/relationships/ctrlProp" Target="../ctrlProps/ctrlProp401.xml"/><Relationship Id="rId9" Type="http://schemas.openxmlformats.org/officeDocument/2006/relationships/ctrlProp" Target="../ctrlProps/ctrlProp406.xml"/><Relationship Id="rId13" Type="http://schemas.openxmlformats.org/officeDocument/2006/relationships/ctrlProp" Target="../ctrlProps/ctrlProp410.xml"/><Relationship Id="rId18" Type="http://schemas.openxmlformats.org/officeDocument/2006/relationships/ctrlProp" Target="../ctrlProps/ctrlProp415.xml"/><Relationship Id="rId39" Type="http://schemas.openxmlformats.org/officeDocument/2006/relationships/ctrlProp" Target="../ctrlProps/ctrlProp436.xml"/><Relationship Id="rId34" Type="http://schemas.openxmlformats.org/officeDocument/2006/relationships/ctrlProp" Target="../ctrlProps/ctrlProp431.xml"/><Relationship Id="rId50" Type="http://schemas.openxmlformats.org/officeDocument/2006/relationships/ctrlProp" Target="../ctrlProps/ctrlProp447.xml"/><Relationship Id="rId55" Type="http://schemas.openxmlformats.org/officeDocument/2006/relationships/ctrlProp" Target="../ctrlProps/ctrlProp452.xml"/><Relationship Id="rId76" Type="http://schemas.openxmlformats.org/officeDocument/2006/relationships/ctrlProp" Target="../ctrlProps/ctrlProp473.xml"/><Relationship Id="rId97" Type="http://schemas.openxmlformats.org/officeDocument/2006/relationships/ctrlProp" Target="../ctrlProps/ctrlProp494.xml"/><Relationship Id="rId7" Type="http://schemas.openxmlformats.org/officeDocument/2006/relationships/ctrlProp" Target="../ctrlProps/ctrlProp404.xml"/><Relationship Id="rId71" Type="http://schemas.openxmlformats.org/officeDocument/2006/relationships/ctrlProp" Target="../ctrlProps/ctrlProp468.xml"/><Relationship Id="rId92" Type="http://schemas.openxmlformats.org/officeDocument/2006/relationships/ctrlProp" Target="../ctrlProps/ctrlProp489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426.xml"/><Relationship Id="rId24" Type="http://schemas.openxmlformats.org/officeDocument/2006/relationships/ctrlProp" Target="../ctrlProps/ctrlProp421.xml"/><Relationship Id="rId40" Type="http://schemas.openxmlformats.org/officeDocument/2006/relationships/ctrlProp" Target="../ctrlProps/ctrlProp437.xml"/><Relationship Id="rId45" Type="http://schemas.openxmlformats.org/officeDocument/2006/relationships/ctrlProp" Target="../ctrlProps/ctrlProp442.xml"/><Relationship Id="rId66" Type="http://schemas.openxmlformats.org/officeDocument/2006/relationships/ctrlProp" Target="../ctrlProps/ctrlProp463.xml"/><Relationship Id="rId87" Type="http://schemas.openxmlformats.org/officeDocument/2006/relationships/ctrlProp" Target="../ctrlProps/ctrlProp484.xml"/><Relationship Id="rId61" Type="http://schemas.openxmlformats.org/officeDocument/2006/relationships/ctrlProp" Target="../ctrlProps/ctrlProp458.xml"/><Relationship Id="rId82" Type="http://schemas.openxmlformats.org/officeDocument/2006/relationships/ctrlProp" Target="../ctrlProps/ctrlProp479.xml"/><Relationship Id="rId19" Type="http://schemas.openxmlformats.org/officeDocument/2006/relationships/ctrlProp" Target="../ctrlProps/ctrlProp416.xml"/><Relationship Id="rId14" Type="http://schemas.openxmlformats.org/officeDocument/2006/relationships/ctrlProp" Target="../ctrlProps/ctrlProp411.xml"/><Relationship Id="rId30" Type="http://schemas.openxmlformats.org/officeDocument/2006/relationships/ctrlProp" Target="../ctrlProps/ctrlProp427.xml"/><Relationship Id="rId35" Type="http://schemas.openxmlformats.org/officeDocument/2006/relationships/ctrlProp" Target="../ctrlProps/ctrlProp432.xml"/><Relationship Id="rId56" Type="http://schemas.openxmlformats.org/officeDocument/2006/relationships/ctrlProp" Target="../ctrlProps/ctrlProp453.xml"/><Relationship Id="rId77" Type="http://schemas.openxmlformats.org/officeDocument/2006/relationships/ctrlProp" Target="../ctrlProps/ctrlProp474.xml"/><Relationship Id="rId100" Type="http://schemas.openxmlformats.org/officeDocument/2006/relationships/ctrlProp" Target="../ctrlProps/ctrlProp497.xml"/><Relationship Id="rId8" Type="http://schemas.openxmlformats.org/officeDocument/2006/relationships/ctrlProp" Target="../ctrlProps/ctrlProp405.xml"/><Relationship Id="rId51" Type="http://schemas.openxmlformats.org/officeDocument/2006/relationships/ctrlProp" Target="../ctrlProps/ctrlProp448.xml"/><Relationship Id="rId72" Type="http://schemas.openxmlformats.org/officeDocument/2006/relationships/ctrlProp" Target="../ctrlProps/ctrlProp469.xml"/><Relationship Id="rId93" Type="http://schemas.openxmlformats.org/officeDocument/2006/relationships/ctrlProp" Target="../ctrlProps/ctrlProp490.xml"/><Relationship Id="rId98" Type="http://schemas.openxmlformats.org/officeDocument/2006/relationships/ctrlProp" Target="../ctrlProps/ctrlProp49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23.xml"/><Relationship Id="rId21" Type="http://schemas.openxmlformats.org/officeDocument/2006/relationships/ctrlProp" Target="../ctrlProps/ctrlProp518.xml"/><Relationship Id="rId42" Type="http://schemas.openxmlformats.org/officeDocument/2006/relationships/ctrlProp" Target="../ctrlProps/ctrlProp539.xml"/><Relationship Id="rId47" Type="http://schemas.openxmlformats.org/officeDocument/2006/relationships/ctrlProp" Target="../ctrlProps/ctrlProp544.xml"/><Relationship Id="rId63" Type="http://schemas.openxmlformats.org/officeDocument/2006/relationships/ctrlProp" Target="../ctrlProps/ctrlProp560.xml"/><Relationship Id="rId68" Type="http://schemas.openxmlformats.org/officeDocument/2006/relationships/ctrlProp" Target="../ctrlProps/ctrlProp565.xml"/><Relationship Id="rId84" Type="http://schemas.openxmlformats.org/officeDocument/2006/relationships/ctrlProp" Target="../ctrlProps/ctrlProp581.xml"/><Relationship Id="rId89" Type="http://schemas.openxmlformats.org/officeDocument/2006/relationships/ctrlProp" Target="../ctrlProps/ctrlProp586.xml"/><Relationship Id="rId16" Type="http://schemas.openxmlformats.org/officeDocument/2006/relationships/ctrlProp" Target="../ctrlProps/ctrlProp513.xml"/><Relationship Id="rId11" Type="http://schemas.openxmlformats.org/officeDocument/2006/relationships/ctrlProp" Target="../ctrlProps/ctrlProp508.xml"/><Relationship Id="rId32" Type="http://schemas.openxmlformats.org/officeDocument/2006/relationships/ctrlProp" Target="../ctrlProps/ctrlProp529.xml"/><Relationship Id="rId37" Type="http://schemas.openxmlformats.org/officeDocument/2006/relationships/ctrlProp" Target="../ctrlProps/ctrlProp534.xml"/><Relationship Id="rId53" Type="http://schemas.openxmlformats.org/officeDocument/2006/relationships/ctrlProp" Target="../ctrlProps/ctrlProp550.xml"/><Relationship Id="rId58" Type="http://schemas.openxmlformats.org/officeDocument/2006/relationships/ctrlProp" Target="../ctrlProps/ctrlProp555.xml"/><Relationship Id="rId74" Type="http://schemas.openxmlformats.org/officeDocument/2006/relationships/ctrlProp" Target="../ctrlProps/ctrlProp571.xml"/><Relationship Id="rId79" Type="http://schemas.openxmlformats.org/officeDocument/2006/relationships/ctrlProp" Target="../ctrlProps/ctrlProp576.xml"/><Relationship Id="rId102" Type="http://schemas.openxmlformats.org/officeDocument/2006/relationships/ctrlProp" Target="../ctrlProps/ctrlProp599.xml"/><Relationship Id="rId5" Type="http://schemas.openxmlformats.org/officeDocument/2006/relationships/ctrlProp" Target="../ctrlProps/ctrlProp502.xml"/><Relationship Id="rId90" Type="http://schemas.openxmlformats.org/officeDocument/2006/relationships/ctrlProp" Target="../ctrlProps/ctrlProp587.xml"/><Relationship Id="rId95" Type="http://schemas.openxmlformats.org/officeDocument/2006/relationships/ctrlProp" Target="../ctrlProps/ctrlProp592.xml"/><Relationship Id="rId22" Type="http://schemas.openxmlformats.org/officeDocument/2006/relationships/ctrlProp" Target="../ctrlProps/ctrlProp519.xml"/><Relationship Id="rId27" Type="http://schemas.openxmlformats.org/officeDocument/2006/relationships/ctrlProp" Target="../ctrlProps/ctrlProp524.xml"/><Relationship Id="rId43" Type="http://schemas.openxmlformats.org/officeDocument/2006/relationships/ctrlProp" Target="../ctrlProps/ctrlProp540.xml"/><Relationship Id="rId48" Type="http://schemas.openxmlformats.org/officeDocument/2006/relationships/ctrlProp" Target="../ctrlProps/ctrlProp545.xml"/><Relationship Id="rId64" Type="http://schemas.openxmlformats.org/officeDocument/2006/relationships/ctrlProp" Target="../ctrlProps/ctrlProp561.xml"/><Relationship Id="rId69" Type="http://schemas.openxmlformats.org/officeDocument/2006/relationships/ctrlProp" Target="../ctrlProps/ctrlProp566.xml"/><Relationship Id="rId80" Type="http://schemas.openxmlformats.org/officeDocument/2006/relationships/ctrlProp" Target="../ctrlProps/ctrlProp577.xml"/><Relationship Id="rId85" Type="http://schemas.openxmlformats.org/officeDocument/2006/relationships/ctrlProp" Target="../ctrlProps/ctrlProp582.xml"/><Relationship Id="rId12" Type="http://schemas.openxmlformats.org/officeDocument/2006/relationships/ctrlProp" Target="../ctrlProps/ctrlProp509.xml"/><Relationship Id="rId17" Type="http://schemas.openxmlformats.org/officeDocument/2006/relationships/ctrlProp" Target="../ctrlProps/ctrlProp514.xml"/><Relationship Id="rId25" Type="http://schemas.openxmlformats.org/officeDocument/2006/relationships/ctrlProp" Target="../ctrlProps/ctrlProp522.xml"/><Relationship Id="rId33" Type="http://schemas.openxmlformats.org/officeDocument/2006/relationships/ctrlProp" Target="../ctrlProps/ctrlProp530.xml"/><Relationship Id="rId38" Type="http://schemas.openxmlformats.org/officeDocument/2006/relationships/ctrlProp" Target="../ctrlProps/ctrlProp535.xml"/><Relationship Id="rId46" Type="http://schemas.openxmlformats.org/officeDocument/2006/relationships/ctrlProp" Target="../ctrlProps/ctrlProp543.xml"/><Relationship Id="rId59" Type="http://schemas.openxmlformats.org/officeDocument/2006/relationships/ctrlProp" Target="../ctrlProps/ctrlProp556.xml"/><Relationship Id="rId67" Type="http://schemas.openxmlformats.org/officeDocument/2006/relationships/ctrlProp" Target="../ctrlProps/ctrlProp564.xml"/><Relationship Id="rId103" Type="http://schemas.openxmlformats.org/officeDocument/2006/relationships/ctrlProp" Target="../ctrlProps/ctrlProp600.xml"/><Relationship Id="rId20" Type="http://schemas.openxmlformats.org/officeDocument/2006/relationships/ctrlProp" Target="../ctrlProps/ctrlProp517.xml"/><Relationship Id="rId41" Type="http://schemas.openxmlformats.org/officeDocument/2006/relationships/ctrlProp" Target="../ctrlProps/ctrlProp538.xml"/><Relationship Id="rId54" Type="http://schemas.openxmlformats.org/officeDocument/2006/relationships/ctrlProp" Target="../ctrlProps/ctrlProp551.xml"/><Relationship Id="rId62" Type="http://schemas.openxmlformats.org/officeDocument/2006/relationships/ctrlProp" Target="../ctrlProps/ctrlProp559.xml"/><Relationship Id="rId70" Type="http://schemas.openxmlformats.org/officeDocument/2006/relationships/ctrlProp" Target="../ctrlProps/ctrlProp567.xml"/><Relationship Id="rId75" Type="http://schemas.openxmlformats.org/officeDocument/2006/relationships/ctrlProp" Target="../ctrlProps/ctrlProp572.xml"/><Relationship Id="rId83" Type="http://schemas.openxmlformats.org/officeDocument/2006/relationships/ctrlProp" Target="../ctrlProps/ctrlProp580.xml"/><Relationship Id="rId88" Type="http://schemas.openxmlformats.org/officeDocument/2006/relationships/ctrlProp" Target="../ctrlProps/ctrlProp585.xml"/><Relationship Id="rId91" Type="http://schemas.openxmlformats.org/officeDocument/2006/relationships/ctrlProp" Target="../ctrlProps/ctrlProp588.xml"/><Relationship Id="rId96" Type="http://schemas.openxmlformats.org/officeDocument/2006/relationships/ctrlProp" Target="../ctrlProps/ctrlProp5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503.xml"/><Relationship Id="rId15" Type="http://schemas.openxmlformats.org/officeDocument/2006/relationships/ctrlProp" Target="../ctrlProps/ctrlProp512.xml"/><Relationship Id="rId23" Type="http://schemas.openxmlformats.org/officeDocument/2006/relationships/ctrlProp" Target="../ctrlProps/ctrlProp520.xml"/><Relationship Id="rId28" Type="http://schemas.openxmlformats.org/officeDocument/2006/relationships/ctrlProp" Target="../ctrlProps/ctrlProp525.xml"/><Relationship Id="rId36" Type="http://schemas.openxmlformats.org/officeDocument/2006/relationships/ctrlProp" Target="../ctrlProps/ctrlProp533.xml"/><Relationship Id="rId49" Type="http://schemas.openxmlformats.org/officeDocument/2006/relationships/ctrlProp" Target="../ctrlProps/ctrlProp546.xml"/><Relationship Id="rId57" Type="http://schemas.openxmlformats.org/officeDocument/2006/relationships/ctrlProp" Target="../ctrlProps/ctrlProp554.xml"/><Relationship Id="rId10" Type="http://schemas.openxmlformats.org/officeDocument/2006/relationships/ctrlProp" Target="../ctrlProps/ctrlProp507.xml"/><Relationship Id="rId31" Type="http://schemas.openxmlformats.org/officeDocument/2006/relationships/ctrlProp" Target="../ctrlProps/ctrlProp528.xml"/><Relationship Id="rId44" Type="http://schemas.openxmlformats.org/officeDocument/2006/relationships/ctrlProp" Target="../ctrlProps/ctrlProp541.xml"/><Relationship Id="rId52" Type="http://schemas.openxmlformats.org/officeDocument/2006/relationships/ctrlProp" Target="../ctrlProps/ctrlProp549.xml"/><Relationship Id="rId60" Type="http://schemas.openxmlformats.org/officeDocument/2006/relationships/ctrlProp" Target="../ctrlProps/ctrlProp557.xml"/><Relationship Id="rId65" Type="http://schemas.openxmlformats.org/officeDocument/2006/relationships/ctrlProp" Target="../ctrlProps/ctrlProp562.xml"/><Relationship Id="rId73" Type="http://schemas.openxmlformats.org/officeDocument/2006/relationships/ctrlProp" Target="../ctrlProps/ctrlProp570.xml"/><Relationship Id="rId78" Type="http://schemas.openxmlformats.org/officeDocument/2006/relationships/ctrlProp" Target="../ctrlProps/ctrlProp575.xml"/><Relationship Id="rId81" Type="http://schemas.openxmlformats.org/officeDocument/2006/relationships/ctrlProp" Target="../ctrlProps/ctrlProp578.xml"/><Relationship Id="rId86" Type="http://schemas.openxmlformats.org/officeDocument/2006/relationships/ctrlProp" Target="../ctrlProps/ctrlProp583.xml"/><Relationship Id="rId94" Type="http://schemas.openxmlformats.org/officeDocument/2006/relationships/ctrlProp" Target="../ctrlProps/ctrlProp591.xml"/><Relationship Id="rId99" Type="http://schemas.openxmlformats.org/officeDocument/2006/relationships/ctrlProp" Target="../ctrlProps/ctrlProp596.xml"/><Relationship Id="rId101" Type="http://schemas.openxmlformats.org/officeDocument/2006/relationships/ctrlProp" Target="../ctrlProps/ctrlProp598.xml"/><Relationship Id="rId4" Type="http://schemas.openxmlformats.org/officeDocument/2006/relationships/ctrlProp" Target="../ctrlProps/ctrlProp501.xml"/><Relationship Id="rId9" Type="http://schemas.openxmlformats.org/officeDocument/2006/relationships/ctrlProp" Target="../ctrlProps/ctrlProp506.xml"/><Relationship Id="rId13" Type="http://schemas.openxmlformats.org/officeDocument/2006/relationships/ctrlProp" Target="../ctrlProps/ctrlProp510.xml"/><Relationship Id="rId18" Type="http://schemas.openxmlformats.org/officeDocument/2006/relationships/ctrlProp" Target="../ctrlProps/ctrlProp515.xml"/><Relationship Id="rId39" Type="http://schemas.openxmlformats.org/officeDocument/2006/relationships/ctrlProp" Target="../ctrlProps/ctrlProp536.xml"/><Relationship Id="rId34" Type="http://schemas.openxmlformats.org/officeDocument/2006/relationships/ctrlProp" Target="../ctrlProps/ctrlProp531.xml"/><Relationship Id="rId50" Type="http://schemas.openxmlformats.org/officeDocument/2006/relationships/ctrlProp" Target="../ctrlProps/ctrlProp547.xml"/><Relationship Id="rId55" Type="http://schemas.openxmlformats.org/officeDocument/2006/relationships/ctrlProp" Target="../ctrlProps/ctrlProp552.xml"/><Relationship Id="rId76" Type="http://schemas.openxmlformats.org/officeDocument/2006/relationships/ctrlProp" Target="../ctrlProps/ctrlProp573.xml"/><Relationship Id="rId97" Type="http://schemas.openxmlformats.org/officeDocument/2006/relationships/ctrlProp" Target="../ctrlProps/ctrlProp594.xml"/><Relationship Id="rId7" Type="http://schemas.openxmlformats.org/officeDocument/2006/relationships/ctrlProp" Target="../ctrlProps/ctrlProp504.xml"/><Relationship Id="rId71" Type="http://schemas.openxmlformats.org/officeDocument/2006/relationships/ctrlProp" Target="../ctrlProps/ctrlProp568.xml"/><Relationship Id="rId92" Type="http://schemas.openxmlformats.org/officeDocument/2006/relationships/ctrlProp" Target="../ctrlProps/ctrlProp589.xml"/><Relationship Id="rId2" Type="http://schemas.openxmlformats.org/officeDocument/2006/relationships/drawing" Target="../drawings/drawing6.xml"/><Relationship Id="rId29" Type="http://schemas.openxmlformats.org/officeDocument/2006/relationships/ctrlProp" Target="../ctrlProps/ctrlProp526.xml"/><Relationship Id="rId24" Type="http://schemas.openxmlformats.org/officeDocument/2006/relationships/ctrlProp" Target="../ctrlProps/ctrlProp521.xml"/><Relationship Id="rId40" Type="http://schemas.openxmlformats.org/officeDocument/2006/relationships/ctrlProp" Target="../ctrlProps/ctrlProp537.xml"/><Relationship Id="rId45" Type="http://schemas.openxmlformats.org/officeDocument/2006/relationships/ctrlProp" Target="../ctrlProps/ctrlProp542.xml"/><Relationship Id="rId66" Type="http://schemas.openxmlformats.org/officeDocument/2006/relationships/ctrlProp" Target="../ctrlProps/ctrlProp563.xml"/><Relationship Id="rId87" Type="http://schemas.openxmlformats.org/officeDocument/2006/relationships/ctrlProp" Target="../ctrlProps/ctrlProp584.xml"/><Relationship Id="rId61" Type="http://schemas.openxmlformats.org/officeDocument/2006/relationships/ctrlProp" Target="../ctrlProps/ctrlProp558.xml"/><Relationship Id="rId82" Type="http://schemas.openxmlformats.org/officeDocument/2006/relationships/ctrlProp" Target="../ctrlProps/ctrlProp579.xml"/><Relationship Id="rId19" Type="http://schemas.openxmlformats.org/officeDocument/2006/relationships/ctrlProp" Target="../ctrlProps/ctrlProp516.xml"/><Relationship Id="rId14" Type="http://schemas.openxmlformats.org/officeDocument/2006/relationships/ctrlProp" Target="../ctrlProps/ctrlProp511.xml"/><Relationship Id="rId30" Type="http://schemas.openxmlformats.org/officeDocument/2006/relationships/ctrlProp" Target="../ctrlProps/ctrlProp527.xml"/><Relationship Id="rId35" Type="http://schemas.openxmlformats.org/officeDocument/2006/relationships/ctrlProp" Target="../ctrlProps/ctrlProp532.xml"/><Relationship Id="rId56" Type="http://schemas.openxmlformats.org/officeDocument/2006/relationships/ctrlProp" Target="../ctrlProps/ctrlProp553.xml"/><Relationship Id="rId77" Type="http://schemas.openxmlformats.org/officeDocument/2006/relationships/ctrlProp" Target="../ctrlProps/ctrlProp574.xml"/><Relationship Id="rId100" Type="http://schemas.openxmlformats.org/officeDocument/2006/relationships/ctrlProp" Target="../ctrlProps/ctrlProp597.xml"/><Relationship Id="rId8" Type="http://schemas.openxmlformats.org/officeDocument/2006/relationships/ctrlProp" Target="../ctrlProps/ctrlProp505.xml"/><Relationship Id="rId51" Type="http://schemas.openxmlformats.org/officeDocument/2006/relationships/ctrlProp" Target="../ctrlProps/ctrlProp548.xml"/><Relationship Id="rId72" Type="http://schemas.openxmlformats.org/officeDocument/2006/relationships/ctrlProp" Target="../ctrlProps/ctrlProp569.xml"/><Relationship Id="rId93" Type="http://schemas.openxmlformats.org/officeDocument/2006/relationships/ctrlProp" Target="../ctrlProps/ctrlProp590.xml"/><Relationship Id="rId98" Type="http://schemas.openxmlformats.org/officeDocument/2006/relationships/ctrlProp" Target="../ctrlProps/ctrlProp595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AH89"/>
  <sheetViews>
    <sheetView showGridLines="0" zoomScale="115" zoomScaleNormal="115" workbookViewId="0">
      <selection activeCell="F10" sqref="F10"/>
    </sheetView>
  </sheetViews>
  <sheetFormatPr defaultColWidth="9.296875" defaultRowHeight="13"/>
  <cols>
    <col min="1" max="1" width="54.69921875" customWidth="1"/>
    <col min="2" max="3" width="6.796875" customWidth="1"/>
    <col min="4" max="4" width="44.796875" style="4" customWidth="1"/>
    <col min="6" max="25" width="9.296875" customWidth="1"/>
    <col min="27" max="28" width="9.296875" style="35"/>
    <col min="29" max="30" width="4.19921875" style="36" customWidth="1"/>
    <col min="31" max="31" width="3.296875" style="36" customWidth="1"/>
    <col min="32" max="33" width="9.296875" style="36"/>
    <col min="34" max="34" width="9.296875" style="37"/>
  </cols>
  <sheetData>
    <row r="5" spans="1:33" ht="13" customHeight="1">
      <c r="A5" s="48" t="s">
        <v>10</v>
      </c>
      <c r="B5" s="48"/>
      <c r="C5" s="48"/>
      <c r="D5" s="48"/>
    </row>
    <row r="6" spans="1:33" ht="13" customHeight="1">
      <c r="A6" s="49" t="s">
        <v>11</v>
      </c>
      <c r="B6" s="49"/>
      <c r="C6" s="49"/>
      <c r="D6" s="49"/>
    </row>
    <row r="7" spans="1:33">
      <c r="A7" s="50"/>
      <c r="B7" s="50"/>
      <c r="C7" s="50"/>
      <c r="D7" s="50"/>
    </row>
    <row r="8" spans="1:33" ht="13" customHeight="1" thickBot="1">
      <c r="A8" s="51" t="s">
        <v>12</v>
      </c>
      <c r="B8" s="51"/>
      <c r="C8" s="51"/>
      <c r="D8" s="51"/>
    </row>
    <row r="9" spans="1:33" ht="7" customHeight="1" thickTop="1">
      <c r="A9" s="13"/>
      <c r="B9" s="13"/>
      <c r="C9" s="13"/>
      <c r="D9" s="13"/>
    </row>
    <row r="10" spans="1:33" ht="32.5" customHeight="1">
      <c r="A10" s="52" t="s">
        <v>18</v>
      </c>
      <c r="B10" s="53"/>
      <c r="C10" s="53"/>
      <c r="D10" s="53"/>
    </row>
    <row r="11" spans="1:33">
      <c r="A11" s="3" t="s">
        <v>7</v>
      </c>
      <c r="B11" s="54" t="s">
        <v>61</v>
      </c>
      <c r="C11" s="55"/>
      <c r="D11" s="55"/>
    </row>
    <row r="12" spans="1:33">
      <c r="A12" s="12" t="s">
        <v>8</v>
      </c>
      <c r="B12" s="54" t="s">
        <v>62</v>
      </c>
      <c r="C12" s="55"/>
      <c r="D12" s="55"/>
    </row>
    <row r="13" spans="1:33">
      <c r="A13" s="12" t="s">
        <v>9</v>
      </c>
      <c r="B13" s="54" t="s">
        <v>63</v>
      </c>
      <c r="C13" s="55"/>
      <c r="D13" s="55"/>
    </row>
    <row r="14" spans="1:33" ht="22.5" customHeight="1" thickBot="1">
      <c r="A14" s="25" t="s">
        <v>19</v>
      </c>
    </row>
    <row r="15" spans="1:33" ht="13.5" thickBot="1">
      <c r="A15" s="7" t="s">
        <v>0</v>
      </c>
      <c r="B15" s="8" t="s">
        <v>1</v>
      </c>
      <c r="C15" s="8" t="s">
        <v>2</v>
      </c>
      <c r="D15" s="9" t="s">
        <v>3</v>
      </c>
    </row>
    <row r="16" spans="1:33" ht="25" customHeight="1">
      <c r="A16" s="34" t="s">
        <v>20</v>
      </c>
      <c r="B16" s="6"/>
      <c r="C16" s="6"/>
      <c r="D16" s="18"/>
      <c r="AA16" s="35" t="b">
        <v>1</v>
      </c>
      <c r="AB16" s="35" t="b">
        <v>0</v>
      </c>
      <c r="AC16" s="36">
        <f>IF(AA16="","",IF(AA16=TRUE,1,0))</f>
        <v>1</v>
      </c>
      <c r="AD16" s="36">
        <f>IF(AB16="","",IF(AB16=TRUE,1,0))</f>
        <v>0</v>
      </c>
      <c r="AE16" s="36">
        <f>SUM(AC16:AD16)</f>
        <v>1</v>
      </c>
      <c r="AF16" s="38">
        <f>IF(AE16=1,AC16,0)</f>
        <v>1</v>
      </c>
      <c r="AG16" s="38">
        <f>IF(AE16=1,AD16,0)</f>
        <v>0</v>
      </c>
    </row>
    <row r="17" spans="1:33" ht="25" customHeight="1">
      <c r="A17" s="34" t="s">
        <v>21</v>
      </c>
      <c r="B17" s="2"/>
      <c r="C17" s="2"/>
      <c r="D17" s="19"/>
      <c r="AA17" s="35" t="b">
        <v>1</v>
      </c>
      <c r="AB17" s="35" t="b">
        <v>0</v>
      </c>
      <c r="AC17" s="36">
        <f t="shared" ref="AC17:AD74" si="0">IF(AA17="","",IF(AA17=TRUE,1,0))</f>
        <v>1</v>
      </c>
      <c r="AD17" s="36">
        <f t="shared" si="0"/>
        <v>0</v>
      </c>
      <c r="AE17" s="36">
        <f t="shared" ref="AE17:AE61" si="1">SUM(AC17:AD17)</f>
        <v>1</v>
      </c>
      <c r="AF17" s="38">
        <f t="shared" ref="AF17:AF61" si="2">IF(AE17=1,AC17,0)</f>
        <v>1</v>
      </c>
      <c r="AG17" s="38">
        <f t="shared" ref="AG17:AG61" si="3">IF(AE17=1,AD17,0)</f>
        <v>0</v>
      </c>
    </row>
    <row r="18" spans="1:33" ht="25" customHeight="1">
      <c r="A18" s="34" t="s">
        <v>22</v>
      </c>
      <c r="B18" s="2"/>
      <c r="C18" s="2"/>
      <c r="D18" s="19"/>
      <c r="AA18" s="35" t="b">
        <v>1</v>
      </c>
      <c r="AB18" s="35" t="b">
        <v>0</v>
      </c>
      <c r="AC18" s="36">
        <f t="shared" si="0"/>
        <v>1</v>
      </c>
      <c r="AD18" s="36">
        <f t="shared" si="0"/>
        <v>0</v>
      </c>
      <c r="AE18" s="36">
        <f t="shared" si="1"/>
        <v>1</v>
      </c>
      <c r="AF18" s="38">
        <f t="shared" si="2"/>
        <v>1</v>
      </c>
      <c r="AG18" s="38">
        <f t="shared" si="3"/>
        <v>0</v>
      </c>
    </row>
    <row r="19" spans="1:33" ht="25" customHeight="1">
      <c r="A19" s="34" t="s">
        <v>23</v>
      </c>
      <c r="B19" s="2"/>
      <c r="C19" s="2"/>
      <c r="D19" s="23"/>
      <c r="AA19" s="35" t="b">
        <v>1</v>
      </c>
      <c r="AB19" s="35" t="b">
        <v>0</v>
      </c>
      <c r="AC19" s="36">
        <f t="shared" ref="AC19" si="4">IF(AA19="","",IF(AA19=TRUE,1,0))</f>
        <v>1</v>
      </c>
      <c r="AD19" s="36">
        <f t="shared" ref="AD19" si="5">IF(AB19="","",IF(AB19=TRUE,1,0))</f>
        <v>0</v>
      </c>
      <c r="AE19" s="36">
        <f t="shared" ref="AE19" si="6">SUM(AC19:AD19)</f>
        <v>1</v>
      </c>
      <c r="AF19" s="38">
        <f t="shared" ref="AF19" si="7">IF(AE19=1,AC19,0)</f>
        <v>1</v>
      </c>
      <c r="AG19" s="38">
        <f t="shared" ref="AG19" si="8">IF(AE19=1,AD19,0)</f>
        <v>0</v>
      </c>
    </row>
    <row r="20" spans="1:33" ht="25" customHeight="1">
      <c r="A20" s="34" t="s">
        <v>24</v>
      </c>
      <c r="B20" s="28"/>
      <c r="C20" s="28"/>
      <c r="D20" s="30"/>
      <c r="AA20" s="35" t="b">
        <v>0</v>
      </c>
      <c r="AB20" s="35" t="b">
        <v>1</v>
      </c>
      <c r="AC20" s="36">
        <f t="shared" si="0"/>
        <v>0</v>
      </c>
      <c r="AD20" s="36">
        <f t="shared" si="0"/>
        <v>1</v>
      </c>
      <c r="AE20" s="36">
        <f t="shared" si="1"/>
        <v>1</v>
      </c>
      <c r="AF20" s="38">
        <f t="shared" si="2"/>
        <v>0</v>
      </c>
      <c r="AG20" s="38">
        <f t="shared" si="3"/>
        <v>1</v>
      </c>
    </row>
    <row r="21" spans="1:33" ht="24" customHeight="1">
      <c r="A21" s="34" t="s">
        <v>25</v>
      </c>
      <c r="B21" s="6"/>
      <c r="C21" s="6"/>
      <c r="D21" s="20"/>
      <c r="AA21" s="35" t="b">
        <v>0</v>
      </c>
      <c r="AB21" s="35" t="b">
        <v>1</v>
      </c>
      <c r="AC21" s="36">
        <f t="shared" si="0"/>
        <v>0</v>
      </c>
      <c r="AD21" s="36">
        <f t="shared" si="0"/>
        <v>1</v>
      </c>
      <c r="AE21" s="36">
        <f t="shared" si="1"/>
        <v>1</v>
      </c>
      <c r="AF21" s="38">
        <f t="shared" si="2"/>
        <v>0</v>
      </c>
      <c r="AG21" s="38">
        <f t="shared" si="3"/>
        <v>1</v>
      </c>
    </row>
    <row r="22" spans="1:33" ht="21.65" customHeight="1">
      <c r="A22" s="26"/>
      <c r="B22" s="2"/>
      <c r="C22" s="2"/>
      <c r="D22" s="21"/>
      <c r="AA22" s="35" t="b">
        <v>0</v>
      </c>
      <c r="AB22" s="35" t="b">
        <v>0</v>
      </c>
      <c r="AC22" s="36">
        <f t="shared" si="0"/>
        <v>0</v>
      </c>
      <c r="AD22" s="36">
        <f t="shared" si="0"/>
        <v>0</v>
      </c>
      <c r="AE22" s="36">
        <f t="shared" si="1"/>
        <v>0</v>
      </c>
      <c r="AF22" s="38">
        <f t="shared" si="2"/>
        <v>0</v>
      </c>
      <c r="AG22" s="38">
        <f t="shared" si="3"/>
        <v>0</v>
      </c>
    </row>
    <row r="23" spans="1:33" ht="21.65" customHeight="1">
      <c r="A23" s="26"/>
      <c r="B23" s="2"/>
      <c r="C23" s="2"/>
      <c r="D23" s="21"/>
      <c r="AA23" s="35" t="b">
        <v>0</v>
      </c>
      <c r="AB23" s="35" t="b">
        <v>0</v>
      </c>
      <c r="AC23" s="36">
        <f t="shared" si="0"/>
        <v>0</v>
      </c>
      <c r="AD23" s="36">
        <f t="shared" si="0"/>
        <v>0</v>
      </c>
      <c r="AE23" s="36">
        <f t="shared" si="1"/>
        <v>0</v>
      </c>
      <c r="AF23" s="38">
        <f t="shared" si="2"/>
        <v>0</v>
      </c>
      <c r="AG23" s="38">
        <f t="shared" si="3"/>
        <v>0</v>
      </c>
    </row>
    <row r="24" spans="1:33" ht="21.65" customHeight="1">
      <c r="A24" s="26"/>
      <c r="B24" s="2"/>
      <c r="C24" s="2"/>
      <c r="D24" s="24"/>
      <c r="AA24" s="35" t="b">
        <v>0</v>
      </c>
      <c r="AB24" s="35" t="b">
        <v>0</v>
      </c>
      <c r="AC24" s="36">
        <f t="shared" ref="AC24" si="9">IF(AA24="","",IF(AA24=TRUE,1,0))</f>
        <v>0</v>
      </c>
      <c r="AD24" s="36">
        <f t="shared" ref="AD24" si="10">IF(AB24="","",IF(AB24=TRUE,1,0))</f>
        <v>0</v>
      </c>
      <c r="AE24" s="36">
        <f t="shared" ref="AE24" si="11">SUM(AC24:AD24)</f>
        <v>0</v>
      </c>
      <c r="AF24" s="38">
        <f t="shared" ref="AF24" si="12">IF(AE24=1,AC24,0)</f>
        <v>0</v>
      </c>
      <c r="AG24" s="38">
        <f t="shared" ref="AG24" si="13">IF(AE24=1,AD24,0)</f>
        <v>0</v>
      </c>
    </row>
    <row r="25" spans="1:33" ht="21.65" customHeight="1" thickBot="1">
      <c r="A25" s="32"/>
      <c r="B25" s="5"/>
      <c r="C25" s="5"/>
      <c r="D25" s="22"/>
      <c r="AA25" s="35" t="b">
        <v>0</v>
      </c>
      <c r="AB25" s="35" t="b">
        <v>0</v>
      </c>
      <c r="AC25" s="36">
        <f t="shared" si="0"/>
        <v>0</v>
      </c>
      <c r="AD25" s="36">
        <f t="shared" si="0"/>
        <v>0</v>
      </c>
      <c r="AE25" s="36">
        <f t="shared" si="1"/>
        <v>0</v>
      </c>
      <c r="AF25" s="38">
        <f t="shared" si="2"/>
        <v>0</v>
      </c>
      <c r="AG25" s="38">
        <f t="shared" si="3"/>
        <v>0</v>
      </c>
    </row>
    <row r="26" spans="1:33" ht="21.65" customHeight="1" thickBot="1">
      <c r="A26" s="27" t="s">
        <v>26</v>
      </c>
      <c r="B26" s="13">
        <f>AF26</f>
        <v>4</v>
      </c>
      <c r="C26" s="13">
        <f>AG26</f>
        <v>2</v>
      </c>
      <c r="AC26" s="36" t="str">
        <f t="shared" si="0"/>
        <v/>
      </c>
      <c r="AD26" s="36" t="str">
        <f t="shared" si="0"/>
        <v/>
      </c>
      <c r="AF26" s="39">
        <f>SUM(AF16:AF25)</f>
        <v>4</v>
      </c>
      <c r="AG26" s="39">
        <f>SUM(AG16:AG25)</f>
        <v>2</v>
      </c>
    </row>
    <row r="27" spans="1:33" ht="21.65" customHeight="1" thickBot="1">
      <c r="A27" s="7" t="s">
        <v>0</v>
      </c>
      <c r="B27" s="8" t="s">
        <v>1</v>
      </c>
      <c r="C27" s="10" t="s">
        <v>2</v>
      </c>
      <c r="D27" s="9" t="s">
        <v>3</v>
      </c>
      <c r="AC27" s="36" t="str">
        <f t="shared" si="0"/>
        <v/>
      </c>
      <c r="AD27" s="36" t="str">
        <f t="shared" si="0"/>
        <v/>
      </c>
      <c r="AF27" s="38"/>
      <c r="AG27" s="38"/>
    </row>
    <row r="28" spans="1:33" ht="24.75" customHeight="1">
      <c r="A28" s="34" t="s">
        <v>27</v>
      </c>
      <c r="B28" s="2"/>
      <c r="C28" s="2"/>
      <c r="D28" s="20"/>
      <c r="AA28" s="35" t="b">
        <v>1</v>
      </c>
      <c r="AB28" s="35" t="b">
        <v>0</v>
      </c>
      <c r="AC28" s="36">
        <f t="shared" si="0"/>
        <v>1</v>
      </c>
      <c r="AD28" s="36">
        <f t="shared" si="0"/>
        <v>0</v>
      </c>
      <c r="AE28" s="36">
        <f t="shared" si="1"/>
        <v>1</v>
      </c>
      <c r="AF28" s="38">
        <f t="shared" si="2"/>
        <v>1</v>
      </c>
      <c r="AG28" s="38">
        <f t="shared" si="3"/>
        <v>0</v>
      </c>
    </row>
    <row r="29" spans="1:33" ht="25.5" customHeight="1">
      <c r="A29" s="34" t="s">
        <v>28</v>
      </c>
      <c r="B29" s="2"/>
      <c r="C29" s="2"/>
      <c r="D29" s="21"/>
      <c r="AA29" s="35" t="b">
        <v>1</v>
      </c>
      <c r="AB29" s="35" t="b">
        <v>0</v>
      </c>
      <c r="AC29" s="36">
        <f t="shared" si="0"/>
        <v>1</v>
      </c>
      <c r="AD29" s="36">
        <f t="shared" si="0"/>
        <v>0</v>
      </c>
      <c r="AE29" s="36">
        <f t="shared" si="1"/>
        <v>1</v>
      </c>
      <c r="AF29" s="38">
        <f t="shared" si="2"/>
        <v>1</v>
      </c>
      <c r="AG29" s="38">
        <f t="shared" si="3"/>
        <v>0</v>
      </c>
    </row>
    <row r="30" spans="1:33" ht="25.5" customHeight="1">
      <c r="A30" s="34" t="s">
        <v>29</v>
      </c>
      <c r="B30" s="2"/>
      <c r="C30" s="2"/>
      <c r="D30" s="21"/>
      <c r="AA30" s="35" t="b">
        <v>1</v>
      </c>
      <c r="AB30" s="35" t="b">
        <v>0</v>
      </c>
      <c r="AC30" s="36">
        <f t="shared" si="0"/>
        <v>1</v>
      </c>
      <c r="AD30" s="36">
        <f t="shared" si="0"/>
        <v>0</v>
      </c>
      <c r="AE30" s="36">
        <f t="shared" si="1"/>
        <v>1</v>
      </c>
      <c r="AF30" s="38">
        <f t="shared" si="2"/>
        <v>1</v>
      </c>
      <c r="AG30" s="38">
        <f t="shared" si="3"/>
        <v>0</v>
      </c>
    </row>
    <row r="31" spans="1:33" ht="27" customHeight="1">
      <c r="A31" s="34" t="s">
        <v>30</v>
      </c>
      <c r="B31" s="2"/>
      <c r="C31" s="2"/>
      <c r="D31" s="24"/>
      <c r="AA31" s="35" t="b">
        <v>1</v>
      </c>
      <c r="AB31" s="35" t="b">
        <v>0</v>
      </c>
      <c r="AC31" s="36">
        <f t="shared" ref="AC31" si="14">IF(AA31="","",IF(AA31=TRUE,1,0))</f>
        <v>1</v>
      </c>
      <c r="AD31" s="36">
        <f t="shared" ref="AD31" si="15">IF(AB31="","",IF(AB31=TRUE,1,0))</f>
        <v>0</v>
      </c>
      <c r="AE31" s="36">
        <f t="shared" ref="AE31" si="16">SUM(AC31:AD31)</f>
        <v>1</v>
      </c>
      <c r="AF31" s="38">
        <f t="shared" ref="AF31" si="17">IF(AE31=1,AC31,0)</f>
        <v>1</v>
      </c>
      <c r="AG31" s="38">
        <f t="shared" ref="AG31" si="18">IF(AE31=1,AD31,0)</f>
        <v>0</v>
      </c>
    </row>
    <row r="32" spans="1:33" ht="24.75" customHeight="1">
      <c r="A32" s="34" t="s">
        <v>31</v>
      </c>
      <c r="B32" s="28"/>
      <c r="C32" s="28"/>
      <c r="D32" s="29"/>
      <c r="AA32" s="35" t="b">
        <v>0</v>
      </c>
      <c r="AB32" s="35" t="b">
        <v>1</v>
      </c>
      <c r="AC32" s="36">
        <f t="shared" si="0"/>
        <v>0</v>
      </c>
      <c r="AD32" s="36">
        <f t="shared" si="0"/>
        <v>1</v>
      </c>
      <c r="AE32" s="36">
        <f t="shared" si="1"/>
        <v>1</v>
      </c>
      <c r="AF32" s="38">
        <f t="shared" si="2"/>
        <v>0</v>
      </c>
      <c r="AG32" s="38">
        <f t="shared" si="3"/>
        <v>1</v>
      </c>
    </row>
    <row r="33" spans="1:33" ht="27" customHeight="1">
      <c r="A33" s="34" t="s">
        <v>32</v>
      </c>
      <c r="B33" s="6"/>
      <c r="C33" s="6"/>
      <c r="D33" s="20"/>
      <c r="AA33" s="35" t="b">
        <v>0</v>
      </c>
      <c r="AB33" s="35" t="b">
        <v>1</v>
      </c>
      <c r="AC33" s="36">
        <f t="shared" si="0"/>
        <v>0</v>
      </c>
      <c r="AD33" s="36">
        <f t="shared" si="0"/>
        <v>1</v>
      </c>
      <c r="AE33" s="36">
        <f t="shared" si="1"/>
        <v>1</v>
      </c>
      <c r="AF33" s="38">
        <f t="shared" si="2"/>
        <v>0</v>
      </c>
      <c r="AG33" s="38">
        <f t="shared" si="3"/>
        <v>1</v>
      </c>
    </row>
    <row r="34" spans="1:33" ht="26.25" customHeight="1">
      <c r="A34" s="34" t="s">
        <v>33</v>
      </c>
      <c r="B34" s="2"/>
      <c r="C34" s="2"/>
      <c r="D34" s="21"/>
      <c r="AA34" s="35" t="b">
        <v>1</v>
      </c>
      <c r="AB34" s="35" t="b">
        <v>0</v>
      </c>
      <c r="AC34" s="36">
        <f t="shared" si="0"/>
        <v>1</v>
      </c>
      <c r="AD34" s="36">
        <f t="shared" si="0"/>
        <v>0</v>
      </c>
      <c r="AE34" s="36">
        <f t="shared" si="1"/>
        <v>1</v>
      </c>
      <c r="AF34" s="38">
        <f t="shared" si="2"/>
        <v>1</v>
      </c>
      <c r="AG34" s="38">
        <f t="shared" si="3"/>
        <v>0</v>
      </c>
    </row>
    <row r="35" spans="1:33" ht="21.65" customHeight="1">
      <c r="A35" s="26"/>
      <c r="B35" s="2"/>
      <c r="C35" s="2"/>
      <c r="D35" s="21"/>
      <c r="AA35" s="35" t="b">
        <v>0</v>
      </c>
      <c r="AB35" s="35" t="b">
        <v>0</v>
      </c>
      <c r="AC35" s="36">
        <f t="shared" si="0"/>
        <v>0</v>
      </c>
      <c r="AD35" s="36">
        <f t="shared" si="0"/>
        <v>0</v>
      </c>
      <c r="AE35" s="36">
        <f t="shared" si="1"/>
        <v>0</v>
      </c>
      <c r="AF35" s="38">
        <f t="shared" si="2"/>
        <v>0</v>
      </c>
      <c r="AG35" s="38">
        <f t="shared" si="3"/>
        <v>0</v>
      </c>
    </row>
    <row r="36" spans="1:33" ht="21.65" customHeight="1">
      <c r="A36" s="26"/>
      <c r="B36" s="2"/>
      <c r="C36" s="2"/>
      <c r="D36" s="24"/>
      <c r="AA36" s="35" t="b">
        <v>0</v>
      </c>
      <c r="AB36" s="35" t="b">
        <v>0</v>
      </c>
      <c r="AC36" s="36">
        <f t="shared" ref="AC36" si="19">IF(AA36="","",IF(AA36=TRUE,1,0))</f>
        <v>0</v>
      </c>
      <c r="AD36" s="36">
        <f t="shared" ref="AD36" si="20">IF(AB36="","",IF(AB36=TRUE,1,0))</f>
        <v>0</v>
      </c>
      <c r="AE36" s="36">
        <f t="shared" ref="AE36" si="21">SUM(AC36:AD36)</f>
        <v>0</v>
      </c>
      <c r="AF36" s="38">
        <f t="shared" ref="AF36" si="22">IF(AE36=1,AC36,0)</f>
        <v>0</v>
      </c>
      <c r="AG36" s="38">
        <f t="shared" ref="AG36" si="23">IF(AE36=1,AD36,0)</f>
        <v>0</v>
      </c>
    </row>
    <row r="37" spans="1:33" ht="21.65" customHeight="1" thickBot="1">
      <c r="A37" s="32"/>
      <c r="B37" s="5"/>
      <c r="C37" s="5"/>
      <c r="D37" s="22"/>
      <c r="AA37" s="35" t="b">
        <v>0</v>
      </c>
      <c r="AB37" s="35" t="b">
        <v>0</v>
      </c>
      <c r="AC37" s="36">
        <f t="shared" si="0"/>
        <v>0</v>
      </c>
      <c r="AD37" s="36">
        <f t="shared" si="0"/>
        <v>0</v>
      </c>
      <c r="AE37" s="36">
        <f t="shared" si="1"/>
        <v>0</v>
      </c>
      <c r="AF37" s="38">
        <f t="shared" si="2"/>
        <v>0</v>
      </c>
      <c r="AG37" s="38">
        <f t="shared" si="3"/>
        <v>0</v>
      </c>
    </row>
    <row r="38" spans="1:33" ht="21.65" customHeight="1" thickBot="1">
      <c r="A38" s="31" t="s">
        <v>34</v>
      </c>
      <c r="B38" s="13">
        <f>AF38</f>
        <v>5</v>
      </c>
      <c r="C38" s="13">
        <f>AG38</f>
        <v>2</v>
      </c>
      <c r="AC38" s="36" t="str">
        <f t="shared" si="0"/>
        <v/>
      </c>
      <c r="AD38" s="36" t="str">
        <f t="shared" si="0"/>
        <v/>
      </c>
      <c r="AF38" s="39">
        <f>SUM(AF28:AF37)</f>
        <v>5</v>
      </c>
      <c r="AG38" s="39">
        <f>SUM(AG28:AG37)</f>
        <v>2</v>
      </c>
    </row>
    <row r="39" spans="1:33" ht="21.65" customHeight="1" thickBot="1">
      <c r="A39" s="7" t="s">
        <v>0</v>
      </c>
      <c r="B39" s="8" t="s">
        <v>1</v>
      </c>
      <c r="C39" s="10" t="s">
        <v>2</v>
      </c>
      <c r="D39" s="9" t="s">
        <v>3</v>
      </c>
      <c r="AC39" s="36" t="str">
        <f t="shared" si="0"/>
        <v/>
      </c>
      <c r="AD39" s="36" t="str">
        <f t="shared" si="0"/>
        <v/>
      </c>
      <c r="AF39" s="38"/>
      <c r="AG39" s="38"/>
    </row>
    <row r="40" spans="1:33" ht="24" customHeight="1">
      <c r="A40" s="34" t="s">
        <v>35</v>
      </c>
      <c r="B40" s="2"/>
      <c r="C40" s="2"/>
      <c r="D40" s="20"/>
      <c r="AA40" s="35" t="b">
        <v>0</v>
      </c>
      <c r="AB40" s="35" t="b">
        <v>1</v>
      </c>
      <c r="AC40" s="36">
        <f t="shared" si="0"/>
        <v>0</v>
      </c>
      <c r="AD40" s="36">
        <f t="shared" si="0"/>
        <v>1</v>
      </c>
      <c r="AE40" s="36">
        <f t="shared" si="1"/>
        <v>1</v>
      </c>
      <c r="AF40" s="38">
        <f t="shared" si="2"/>
        <v>0</v>
      </c>
      <c r="AG40" s="38">
        <f t="shared" si="3"/>
        <v>1</v>
      </c>
    </row>
    <row r="41" spans="1:33" ht="24" customHeight="1">
      <c r="A41" s="34" t="s">
        <v>36</v>
      </c>
      <c r="B41" s="2"/>
      <c r="C41" s="2"/>
      <c r="D41" s="21"/>
      <c r="AA41" s="35" t="b">
        <v>0</v>
      </c>
      <c r="AB41" s="35" t="b">
        <v>1</v>
      </c>
      <c r="AC41" s="36">
        <f t="shared" si="0"/>
        <v>0</v>
      </c>
      <c r="AD41" s="36">
        <f t="shared" si="0"/>
        <v>1</v>
      </c>
      <c r="AE41" s="36">
        <f t="shared" si="1"/>
        <v>1</v>
      </c>
      <c r="AF41" s="38">
        <f t="shared" si="2"/>
        <v>0</v>
      </c>
      <c r="AG41" s="38">
        <f t="shared" si="3"/>
        <v>1</v>
      </c>
    </row>
    <row r="42" spans="1:33" ht="23.25" customHeight="1">
      <c r="A42" s="34" t="s">
        <v>37</v>
      </c>
      <c r="B42" s="2"/>
      <c r="C42" s="2"/>
      <c r="D42" s="21"/>
      <c r="AA42" s="35" t="b">
        <v>1</v>
      </c>
      <c r="AB42" s="35" t="b">
        <v>0</v>
      </c>
      <c r="AC42" s="36">
        <f t="shared" si="0"/>
        <v>1</v>
      </c>
      <c r="AD42" s="36">
        <f t="shared" si="0"/>
        <v>0</v>
      </c>
      <c r="AE42" s="36">
        <f t="shared" si="1"/>
        <v>1</v>
      </c>
      <c r="AF42" s="38">
        <f t="shared" si="2"/>
        <v>1</v>
      </c>
      <c r="AG42" s="38">
        <f t="shared" si="3"/>
        <v>0</v>
      </c>
    </row>
    <row r="43" spans="1:33" ht="24.75" customHeight="1">
      <c r="A43" s="34" t="s">
        <v>38</v>
      </c>
      <c r="B43" s="2"/>
      <c r="C43" s="2"/>
      <c r="D43" s="24"/>
      <c r="AA43" s="35" t="b">
        <v>1</v>
      </c>
      <c r="AB43" s="35" t="b">
        <v>0</v>
      </c>
      <c r="AC43" s="36">
        <f t="shared" ref="AC43" si="24">IF(AA43="","",IF(AA43=TRUE,1,0))</f>
        <v>1</v>
      </c>
      <c r="AD43" s="36">
        <f t="shared" ref="AD43" si="25">IF(AB43="","",IF(AB43=TRUE,1,0))</f>
        <v>0</v>
      </c>
      <c r="AE43" s="36">
        <f t="shared" ref="AE43" si="26">SUM(AC43:AD43)</f>
        <v>1</v>
      </c>
      <c r="AF43" s="38">
        <f t="shared" ref="AF43" si="27">IF(AE43=1,AC43,0)</f>
        <v>1</v>
      </c>
      <c r="AG43" s="38">
        <f t="shared" ref="AG43" si="28">IF(AE43=1,AD43,0)</f>
        <v>0</v>
      </c>
    </row>
    <row r="44" spans="1:33" ht="23.25" customHeight="1">
      <c r="A44" s="34" t="s">
        <v>39</v>
      </c>
      <c r="B44" s="28"/>
      <c r="C44" s="28"/>
      <c r="D44" s="29" t="s">
        <v>56</v>
      </c>
      <c r="AA44" s="35" t="b">
        <v>1</v>
      </c>
      <c r="AB44" s="35" t="b">
        <v>0</v>
      </c>
      <c r="AC44" s="36">
        <f t="shared" si="0"/>
        <v>1</v>
      </c>
      <c r="AD44" s="36">
        <f t="shared" si="0"/>
        <v>0</v>
      </c>
      <c r="AE44" s="36">
        <f t="shared" si="1"/>
        <v>1</v>
      </c>
      <c r="AF44" s="38">
        <f t="shared" si="2"/>
        <v>1</v>
      </c>
      <c r="AG44" s="38">
        <f t="shared" si="3"/>
        <v>0</v>
      </c>
    </row>
    <row r="45" spans="1:33" ht="24" customHeight="1">
      <c r="A45" s="34" t="s">
        <v>40</v>
      </c>
      <c r="B45" s="6"/>
      <c r="C45" s="6"/>
      <c r="D45" s="20"/>
      <c r="AA45" s="35" t="b">
        <v>1</v>
      </c>
      <c r="AB45" s="35" t="b">
        <v>0</v>
      </c>
      <c r="AC45" s="36">
        <f t="shared" si="0"/>
        <v>1</v>
      </c>
      <c r="AD45" s="36">
        <f t="shared" si="0"/>
        <v>0</v>
      </c>
      <c r="AE45" s="36">
        <f t="shared" si="1"/>
        <v>1</v>
      </c>
      <c r="AF45" s="38">
        <f t="shared" si="2"/>
        <v>1</v>
      </c>
      <c r="AG45" s="38">
        <f t="shared" si="3"/>
        <v>0</v>
      </c>
    </row>
    <row r="46" spans="1:33" ht="24" customHeight="1">
      <c r="A46" s="34" t="s">
        <v>41</v>
      </c>
      <c r="B46" s="2"/>
      <c r="C46" s="2"/>
      <c r="D46" s="21"/>
      <c r="AA46" s="35" t="b">
        <v>1</v>
      </c>
      <c r="AB46" s="35" t="b">
        <v>0</v>
      </c>
      <c r="AC46" s="36">
        <f t="shared" si="0"/>
        <v>1</v>
      </c>
      <c r="AD46" s="36">
        <f t="shared" si="0"/>
        <v>0</v>
      </c>
      <c r="AE46" s="36">
        <f t="shared" si="1"/>
        <v>1</v>
      </c>
      <c r="AF46" s="38">
        <f t="shared" si="2"/>
        <v>1</v>
      </c>
      <c r="AG46" s="38">
        <f t="shared" si="3"/>
        <v>0</v>
      </c>
    </row>
    <row r="47" spans="1:33" ht="21.65" customHeight="1">
      <c r="A47" s="26"/>
      <c r="B47" s="2"/>
      <c r="C47" s="2"/>
      <c r="D47" s="21"/>
      <c r="AA47" s="35" t="b">
        <v>0</v>
      </c>
      <c r="AB47" s="35" t="b">
        <v>0</v>
      </c>
      <c r="AC47" s="36">
        <f t="shared" si="0"/>
        <v>0</v>
      </c>
      <c r="AD47" s="36">
        <f t="shared" si="0"/>
        <v>0</v>
      </c>
      <c r="AE47" s="36">
        <f t="shared" si="1"/>
        <v>0</v>
      </c>
      <c r="AF47" s="38">
        <f t="shared" si="2"/>
        <v>0</v>
      </c>
      <c r="AG47" s="38">
        <f t="shared" si="3"/>
        <v>0</v>
      </c>
    </row>
    <row r="48" spans="1:33" ht="21.65" customHeight="1">
      <c r="A48" s="26"/>
      <c r="B48" s="2"/>
      <c r="C48" s="2"/>
      <c r="D48" s="21"/>
      <c r="AA48" s="35" t="b">
        <v>0</v>
      </c>
      <c r="AB48" s="35" t="b">
        <v>0</v>
      </c>
      <c r="AC48" s="36">
        <f t="shared" si="0"/>
        <v>0</v>
      </c>
      <c r="AD48" s="36">
        <f t="shared" si="0"/>
        <v>0</v>
      </c>
      <c r="AE48" s="36">
        <f t="shared" si="1"/>
        <v>0</v>
      </c>
      <c r="AF48" s="38">
        <f t="shared" si="2"/>
        <v>0</v>
      </c>
      <c r="AG48" s="38">
        <f t="shared" si="3"/>
        <v>0</v>
      </c>
    </row>
    <row r="49" spans="1:33" ht="21.65" customHeight="1" thickBot="1">
      <c r="A49" s="32"/>
      <c r="B49" s="5"/>
      <c r="C49" s="5"/>
      <c r="D49" s="22"/>
      <c r="AA49" s="35" t="b">
        <v>0</v>
      </c>
      <c r="AB49" s="35" t="b">
        <v>0</v>
      </c>
      <c r="AC49" s="36">
        <f t="shared" si="0"/>
        <v>0</v>
      </c>
      <c r="AD49" s="36">
        <f t="shared" si="0"/>
        <v>0</v>
      </c>
      <c r="AE49" s="36">
        <f t="shared" si="1"/>
        <v>0</v>
      </c>
      <c r="AF49" s="38">
        <f t="shared" si="2"/>
        <v>0</v>
      </c>
      <c r="AG49" s="38">
        <f t="shared" si="3"/>
        <v>0</v>
      </c>
    </row>
    <row r="50" spans="1:33" ht="21.65" customHeight="1" thickBot="1">
      <c r="A50" s="27" t="s">
        <v>42</v>
      </c>
      <c r="B50" s="13">
        <f>AF50</f>
        <v>5</v>
      </c>
      <c r="C50" s="13">
        <f>AG50</f>
        <v>2</v>
      </c>
      <c r="AC50" s="36" t="str">
        <f t="shared" si="0"/>
        <v/>
      </c>
      <c r="AD50" s="36" t="str">
        <f t="shared" si="0"/>
        <v/>
      </c>
      <c r="AF50" s="39">
        <f>SUM(AF40:AF49)</f>
        <v>5</v>
      </c>
      <c r="AG50" s="39">
        <f>SUM(AG40:AG49)</f>
        <v>2</v>
      </c>
    </row>
    <row r="51" spans="1:33" ht="21.65" customHeight="1" thickBot="1">
      <c r="A51" s="33" t="s">
        <v>15</v>
      </c>
      <c r="B51" s="8" t="s">
        <v>1</v>
      </c>
      <c r="C51" s="10" t="s">
        <v>2</v>
      </c>
      <c r="D51" s="9" t="s">
        <v>3</v>
      </c>
      <c r="AC51" s="36" t="str">
        <f t="shared" si="0"/>
        <v/>
      </c>
      <c r="AD51" s="36" t="str">
        <f t="shared" si="0"/>
        <v/>
      </c>
      <c r="AF51" s="38"/>
      <c r="AG51" s="38"/>
    </row>
    <row r="52" spans="1:33" ht="23.25" customHeight="1">
      <c r="A52" s="34" t="s">
        <v>43</v>
      </c>
      <c r="B52" s="6"/>
      <c r="C52" s="6"/>
      <c r="D52" s="20"/>
      <c r="AA52" s="35" t="b">
        <v>1</v>
      </c>
      <c r="AB52" s="35" t="b">
        <v>0</v>
      </c>
      <c r="AC52" s="36">
        <f t="shared" si="0"/>
        <v>1</v>
      </c>
      <c r="AD52" s="36">
        <f t="shared" si="0"/>
        <v>0</v>
      </c>
      <c r="AE52" s="36">
        <f t="shared" si="1"/>
        <v>1</v>
      </c>
      <c r="AF52" s="38">
        <f t="shared" si="2"/>
        <v>1</v>
      </c>
      <c r="AG52" s="38">
        <f t="shared" si="3"/>
        <v>0</v>
      </c>
    </row>
    <row r="53" spans="1:33" ht="21.65" customHeight="1">
      <c r="A53" s="34" t="s">
        <v>44</v>
      </c>
      <c r="B53" s="2"/>
      <c r="C53" s="2"/>
      <c r="D53" s="21"/>
      <c r="AA53" s="35" t="b">
        <v>0</v>
      </c>
      <c r="AB53" s="35" t="b">
        <v>1</v>
      </c>
      <c r="AC53" s="36">
        <f t="shared" si="0"/>
        <v>0</v>
      </c>
      <c r="AD53" s="36">
        <f t="shared" si="0"/>
        <v>1</v>
      </c>
      <c r="AE53" s="36">
        <f t="shared" si="1"/>
        <v>1</v>
      </c>
      <c r="AF53" s="38">
        <f t="shared" si="2"/>
        <v>0</v>
      </c>
      <c r="AG53" s="38">
        <f t="shared" si="3"/>
        <v>1</v>
      </c>
    </row>
    <row r="54" spans="1:33" ht="21.65" customHeight="1">
      <c r="A54" s="34" t="s">
        <v>45</v>
      </c>
      <c r="B54" s="2"/>
      <c r="C54" s="2"/>
      <c r="D54" s="21"/>
      <c r="AA54" s="35" t="b">
        <v>0</v>
      </c>
      <c r="AB54" s="35" t="b">
        <v>1</v>
      </c>
      <c r="AC54" s="36">
        <f t="shared" si="0"/>
        <v>0</v>
      </c>
      <c r="AD54" s="36">
        <f t="shared" si="0"/>
        <v>1</v>
      </c>
      <c r="AE54" s="36">
        <f t="shared" si="1"/>
        <v>1</v>
      </c>
      <c r="AF54" s="38">
        <f t="shared" si="2"/>
        <v>0</v>
      </c>
      <c r="AG54" s="38">
        <f t="shared" si="3"/>
        <v>1</v>
      </c>
    </row>
    <row r="55" spans="1:33" ht="24.75" customHeight="1">
      <c r="A55" s="34" t="s">
        <v>46</v>
      </c>
      <c r="B55" s="2"/>
      <c r="C55" s="2"/>
      <c r="D55" s="24"/>
      <c r="AA55" s="35" t="b">
        <v>1</v>
      </c>
      <c r="AB55" s="35" t="b">
        <v>0</v>
      </c>
      <c r="AC55" s="36">
        <f t="shared" ref="AC55" si="29">IF(AA55="","",IF(AA55=TRUE,1,0))</f>
        <v>1</v>
      </c>
      <c r="AD55" s="36">
        <f t="shared" ref="AD55" si="30">IF(AB55="","",IF(AB55=TRUE,1,0))</f>
        <v>0</v>
      </c>
      <c r="AE55" s="36">
        <f t="shared" ref="AE55" si="31">SUM(AC55:AD55)</f>
        <v>1</v>
      </c>
      <c r="AF55" s="38">
        <f t="shared" ref="AF55" si="32">IF(AE55=1,AC55,0)</f>
        <v>1</v>
      </c>
      <c r="AG55" s="38">
        <f t="shared" ref="AG55" si="33">IF(AE55=1,AD55,0)</f>
        <v>0</v>
      </c>
    </row>
    <row r="56" spans="1:33" ht="22.5" customHeight="1">
      <c r="A56" s="34" t="s">
        <v>47</v>
      </c>
      <c r="B56" s="28"/>
      <c r="C56" s="28"/>
      <c r="D56" s="29"/>
      <c r="AA56" s="35" t="b">
        <v>1</v>
      </c>
      <c r="AB56" s="35" t="b">
        <v>0</v>
      </c>
      <c r="AC56" s="36">
        <f t="shared" si="0"/>
        <v>1</v>
      </c>
      <c r="AD56" s="36">
        <f t="shared" si="0"/>
        <v>0</v>
      </c>
      <c r="AE56" s="36">
        <f t="shared" si="1"/>
        <v>1</v>
      </c>
      <c r="AF56" s="38">
        <f t="shared" si="2"/>
        <v>1</v>
      </c>
      <c r="AG56" s="38">
        <f t="shared" si="3"/>
        <v>0</v>
      </c>
    </row>
    <row r="57" spans="1:33" ht="23.25" customHeight="1">
      <c r="A57" s="34" t="s">
        <v>48</v>
      </c>
      <c r="B57" s="6"/>
      <c r="C57" s="6"/>
      <c r="D57" s="20"/>
      <c r="AA57" s="35" t="b">
        <v>1</v>
      </c>
      <c r="AB57" s="35" t="b">
        <v>0</v>
      </c>
      <c r="AC57" s="36">
        <f t="shared" si="0"/>
        <v>1</v>
      </c>
      <c r="AD57" s="36">
        <f t="shared" si="0"/>
        <v>0</v>
      </c>
      <c r="AE57" s="36">
        <f t="shared" si="1"/>
        <v>1</v>
      </c>
      <c r="AF57" s="38">
        <f t="shared" si="2"/>
        <v>1</v>
      </c>
      <c r="AG57" s="38">
        <f t="shared" si="3"/>
        <v>0</v>
      </c>
    </row>
    <row r="58" spans="1:33" ht="21.65" customHeight="1">
      <c r="A58" s="26"/>
      <c r="B58" s="2"/>
      <c r="C58" s="2"/>
      <c r="D58" s="21"/>
      <c r="AA58" s="35" t="b">
        <v>0</v>
      </c>
      <c r="AB58" s="35" t="b">
        <v>0</v>
      </c>
      <c r="AC58" s="36">
        <f t="shared" si="0"/>
        <v>0</v>
      </c>
      <c r="AD58" s="36">
        <f t="shared" si="0"/>
        <v>0</v>
      </c>
      <c r="AE58" s="36">
        <f t="shared" si="1"/>
        <v>0</v>
      </c>
      <c r="AF58" s="38">
        <f t="shared" si="2"/>
        <v>0</v>
      </c>
      <c r="AG58" s="38">
        <f t="shared" si="3"/>
        <v>0</v>
      </c>
    </row>
    <row r="59" spans="1:33" ht="21.65" customHeight="1">
      <c r="A59" s="26"/>
      <c r="B59" s="2"/>
      <c r="C59" s="2"/>
      <c r="D59" s="21"/>
      <c r="AA59" s="35" t="b">
        <v>0</v>
      </c>
      <c r="AB59" s="35" t="b">
        <v>0</v>
      </c>
      <c r="AC59" s="36">
        <f t="shared" si="0"/>
        <v>0</v>
      </c>
      <c r="AD59" s="36">
        <f t="shared" si="0"/>
        <v>0</v>
      </c>
      <c r="AE59" s="36">
        <f t="shared" si="1"/>
        <v>0</v>
      </c>
      <c r="AF59" s="38">
        <f t="shared" si="2"/>
        <v>0</v>
      </c>
      <c r="AG59" s="38">
        <f t="shared" si="3"/>
        <v>0</v>
      </c>
    </row>
    <row r="60" spans="1:33" ht="21.65" customHeight="1">
      <c r="A60" s="26"/>
      <c r="B60" s="2"/>
      <c r="C60" s="2"/>
      <c r="D60" s="21"/>
      <c r="AA60" s="35" t="b">
        <v>0</v>
      </c>
      <c r="AB60" s="35" t="b">
        <v>0</v>
      </c>
      <c r="AC60" s="36">
        <f t="shared" si="0"/>
        <v>0</v>
      </c>
      <c r="AD60" s="36">
        <f t="shared" si="0"/>
        <v>0</v>
      </c>
      <c r="AE60" s="36">
        <f t="shared" si="1"/>
        <v>0</v>
      </c>
      <c r="AF60" s="38">
        <f t="shared" si="2"/>
        <v>0</v>
      </c>
      <c r="AG60" s="38">
        <f t="shared" si="3"/>
        <v>0</v>
      </c>
    </row>
    <row r="61" spans="1:33" ht="21.65" customHeight="1" thickBot="1">
      <c r="A61" s="32"/>
      <c r="B61" s="5"/>
      <c r="C61" s="5"/>
      <c r="D61" s="22"/>
      <c r="AA61" s="35" t="b">
        <v>0</v>
      </c>
      <c r="AB61" s="35" t="b">
        <v>0</v>
      </c>
      <c r="AC61" s="36">
        <f t="shared" si="0"/>
        <v>0</v>
      </c>
      <c r="AD61" s="36">
        <f t="shared" si="0"/>
        <v>0</v>
      </c>
      <c r="AE61" s="36">
        <f t="shared" si="1"/>
        <v>0</v>
      </c>
      <c r="AF61" s="38">
        <f t="shared" si="2"/>
        <v>0</v>
      </c>
      <c r="AG61" s="38">
        <f t="shared" si="3"/>
        <v>0</v>
      </c>
    </row>
    <row r="62" spans="1:33" ht="21.65" customHeight="1" thickBot="1">
      <c r="A62" s="27" t="s">
        <v>49</v>
      </c>
      <c r="B62" s="13">
        <f>AF62</f>
        <v>4</v>
      </c>
      <c r="C62" s="13">
        <f>AG62</f>
        <v>2</v>
      </c>
      <c r="AC62" s="36" t="str">
        <f t="shared" ref="AC62:AC73" si="34">IF(AA62="","",IF(AA62=TRUE,1,0))</f>
        <v/>
      </c>
      <c r="AD62" s="36" t="str">
        <f t="shared" ref="AD62:AD73" si="35">IF(AB62="","",IF(AB62=TRUE,1,0))</f>
        <v/>
      </c>
      <c r="AF62" s="39">
        <f>SUM(AF52:AF61)</f>
        <v>4</v>
      </c>
      <c r="AG62" s="39">
        <f>SUM(AG52:AG61)</f>
        <v>2</v>
      </c>
    </row>
    <row r="63" spans="1:33" ht="21.65" customHeight="1" thickBot="1">
      <c r="A63" s="33" t="s">
        <v>15</v>
      </c>
      <c r="B63" s="8" t="s">
        <v>1</v>
      </c>
      <c r="C63" s="10" t="s">
        <v>2</v>
      </c>
      <c r="D63" s="9" t="s">
        <v>3</v>
      </c>
      <c r="AC63" s="36" t="str">
        <f t="shared" si="34"/>
        <v/>
      </c>
      <c r="AD63" s="36" t="str">
        <f t="shared" si="35"/>
        <v/>
      </c>
      <c r="AF63" s="38"/>
      <c r="AG63" s="38"/>
    </row>
    <row r="64" spans="1:33" ht="22.5" customHeight="1">
      <c r="A64" s="34" t="s">
        <v>50</v>
      </c>
      <c r="B64" s="6"/>
      <c r="C64" s="6"/>
      <c r="D64" s="20"/>
      <c r="AA64" s="35" t="b">
        <v>1</v>
      </c>
      <c r="AB64" s="35" t="b">
        <v>0</v>
      </c>
      <c r="AC64" s="36">
        <f t="shared" si="34"/>
        <v>1</v>
      </c>
      <c r="AD64" s="36">
        <f t="shared" si="35"/>
        <v>0</v>
      </c>
      <c r="AE64" s="36">
        <f t="shared" ref="AE64:AE73" si="36">SUM(AC64:AD64)</f>
        <v>1</v>
      </c>
      <c r="AF64" s="38">
        <f t="shared" ref="AF64:AF73" si="37">IF(AE64=1,AC64,0)</f>
        <v>1</v>
      </c>
      <c r="AG64" s="38">
        <f t="shared" ref="AG64:AG73" si="38">IF(AE64=1,AD64,0)</f>
        <v>0</v>
      </c>
    </row>
    <row r="65" spans="1:33" ht="22.5" customHeight="1">
      <c r="A65" s="34" t="s">
        <v>51</v>
      </c>
      <c r="B65" s="2"/>
      <c r="C65" s="2"/>
      <c r="D65" s="21"/>
      <c r="AA65" s="35" t="b">
        <v>1</v>
      </c>
      <c r="AB65" s="35" t="b">
        <v>0</v>
      </c>
      <c r="AC65" s="36">
        <f t="shared" si="34"/>
        <v>1</v>
      </c>
      <c r="AD65" s="36">
        <f t="shared" si="35"/>
        <v>0</v>
      </c>
      <c r="AE65" s="36">
        <f t="shared" si="36"/>
        <v>1</v>
      </c>
      <c r="AF65" s="38">
        <f t="shared" si="37"/>
        <v>1</v>
      </c>
      <c r="AG65" s="38">
        <f t="shared" si="38"/>
        <v>0</v>
      </c>
    </row>
    <row r="66" spans="1:33" ht="23.25" customHeight="1">
      <c r="A66" s="34" t="s">
        <v>52</v>
      </c>
      <c r="B66" s="2"/>
      <c r="C66" s="2"/>
      <c r="D66" s="21"/>
      <c r="AA66" s="35" t="b">
        <v>1</v>
      </c>
      <c r="AB66" s="35" t="b">
        <v>0</v>
      </c>
      <c r="AC66" s="36">
        <f t="shared" si="34"/>
        <v>1</v>
      </c>
      <c r="AD66" s="36">
        <f t="shared" si="35"/>
        <v>0</v>
      </c>
      <c r="AE66" s="36">
        <f t="shared" si="36"/>
        <v>1</v>
      </c>
      <c r="AF66" s="38">
        <f t="shared" si="37"/>
        <v>1</v>
      </c>
      <c r="AG66" s="38">
        <f t="shared" si="38"/>
        <v>0</v>
      </c>
    </row>
    <row r="67" spans="1:33" ht="24.75" customHeight="1">
      <c r="A67" s="34" t="s">
        <v>53</v>
      </c>
      <c r="B67" s="2"/>
      <c r="C67" s="2"/>
      <c r="D67" s="24"/>
      <c r="AA67" s="35" t="b">
        <v>0</v>
      </c>
      <c r="AB67" s="35" t="b">
        <v>1</v>
      </c>
      <c r="AC67" s="36">
        <f t="shared" si="34"/>
        <v>0</v>
      </c>
      <c r="AD67" s="36">
        <f t="shared" si="35"/>
        <v>1</v>
      </c>
      <c r="AE67" s="36">
        <f t="shared" si="36"/>
        <v>1</v>
      </c>
      <c r="AF67" s="38">
        <f t="shared" si="37"/>
        <v>0</v>
      </c>
      <c r="AG67" s="38">
        <f t="shared" si="38"/>
        <v>1</v>
      </c>
    </row>
    <row r="68" spans="1:33" ht="24" customHeight="1">
      <c r="A68" s="34" t="s">
        <v>54</v>
      </c>
      <c r="B68" s="28"/>
      <c r="C68" s="28"/>
      <c r="D68" s="29"/>
      <c r="AA68" s="35" t="b">
        <v>1</v>
      </c>
      <c r="AB68" s="35" t="b">
        <v>0</v>
      </c>
      <c r="AC68" s="36">
        <f t="shared" si="34"/>
        <v>1</v>
      </c>
      <c r="AD68" s="36">
        <f t="shared" si="35"/>
        <v>0</v>
      </c>
      <c r="AE68" s="36">
        <f t="shared" si="36"/>
        <v>1</v>
      </c>
      <c r="AF68" s="38">
        <f t="shared" si="37"/>
        <v>1</v>
      </c>
      <c r="AG68" s="38">
        <f t="shared" si="38"/>
        <v>0</v>
      </c>
    </row>
    <row r="69" spans="1:33" ht="21.65" customHeight="1">
      <c r="A69" s="34" t="s">
        <v>55</v>
      </c>
      <c r="B69" s="6"/>
      <c r="C69" s="6"/>
      <c r="D69" s="20"/>
      <c r="AA69" s="35" t="b">
        <v>0</v>
      </c>
      <c r="AB69" s="35" t="b">
        <v>1</v>
      </c>
      <c r="AC69" s="36">
        <f t="shared" si="34"/>
        <v>0</v>
      </c>
      <c r="AD69" s="36">
        <f t="shared" si="35"/>
        <v>1</v>
      </c>
      <c r="AE69" s="36">
        <f t="shared" si="36"/>
        <v>1</v>
      </c>
      <c r="AF69" s="38">
        <f t="shared" si="37"/>
        <v>0</v>
      </c>
      <c r="AG69" s="38">
        <f t="shared" si="38"/>
        <v>1</v>
      </c>
    </row>
    <row r="70" spans="1:33" ht="21.65" customHeight="1">
      <c r="A70" s="26"/>
      <c r="B70" s="2"/>
      <c r="C70" s="2"/>
      <c r="D70" s="21"/>
      <c r="AA70" s="35" t="b">
        <v>0</v>
      </c>
      <c r="AB70" s="35" t="b">
        <v>0</v>
      </c>
      <c r="AC70" s="36">
        <f t="shared" si="34"/>
        <v>0</v>
      </c>
      <c r="AD70" s="36">
        <f t="shared" si="35"/>
        <v>0</v>
      </c>
      <c r="AE70" s="36">
        <f t="shared" si="36"/>
        <v>0</v>
      </c>
      <c r="AF70" s="38">
        <f t="shared" si="37"/>
        <v>0</v>
      </c>
      <c r="AG70" s="38">
        <f t="shared" si="38"/>
        <v>0</v>
      </c>
    </row>
    <row r="71" spans="1:33" ht="21.65" customHeight="1">
      <c r="A71" s="26"/>
      <c r="B71" s="2"/>
      <c r="C71" s="2"/>
      <c r="D71" s="21"/>
      <c r="AA71" s="35" t="b">
        <v>0</v>
      </c>
      <c r="AB71" s="35" t="b">
        <v>0</v>
      </c>
      <c r="AC71" s="36">
        <f t="shared" si="34"/>
        <v>0</v>
      </c>
      <c r="AD71" s="36">
        <f t="shared" si="35"/>
        <v>0</v>
      </c>
      <c r="AE71" s="36">
        <f t="shared" si="36"/>
        <v>0</v>
      </c>
      <c r="AF71" s="38">
        <f t="shared" si="37"/>
        <v>0</v>
      </c>
      <c r="AG71" s="38">
        <f t="shared" si="38"/>
        <v>0</v>
      </c>
    </row>
    <row r="72" spans="1:33" ht="21.65" customHeight="1">
      <c r="A72" s="26"/>
      <c r="B72" s="2"/>
      <c r="C72" s="2"/>
      <c r="D72" s="21"/>
      <c r="AA72" s="35" t="b">
        <v>0</v>
      </c>
      <c r="AB72" s="35" t="b">
        <v>0</v>
      </c>
      <c r="AC72" s="36">
        <f t="shared" si="34"/>
        <v>0</v>
      </c>
      <c r="AD72" s="36">
        <f t="shared" si="35"/>
        <v>0</v>
      </c>
      <c r="AE72" s="36">
        <f t="shared" si="36"/>
        <v>0</v>
      </c>
      <c r="AF72" s="38">
        <f t="shared" si="37"/>
        <v>0</v>
      </c>
      <c r="AG72" s="38">
        <f t="shared" si="38"/>
        <v>0</v>
      </c>
    </row>
    <row r="73" spans="1:33" ht="21.65" customHeight="1" thickBot="1">
      <c r="A73" s="32"/>
      <c r="B73" s="5"/>
      <c r="C73" s="5"/>
      <c r="D73" s="22"/>
      <c r="AA73" s="35" t="b">
        <v>0</v>
      </c>
      <c r="AB73" s="35" t="b">
        <v>0</v>
      </c>
      <c r="AC73" s="36">
        <f t="shared" si="34"/>
        <v>0</v>
      </c>
      <c r="AD73" s="36">
        <f t="shared" si="35"/>
        <v>0</v>
      </c>
      <c r="AE73" s="36">
        <f t="shared" si="36"/>
        <v>0</v>
      </c>
      <c r="AF73" s="38">
        <f t="shared" si="37"/>
        <v>0</v>
      </c>
      <c r="AG73" s="38">
        <f t="shared" si="38"/>
        <v>0</v>
      </c>
    </row>
    <row r="74" spans="1:33" ht="21.65" customHeight="1">
      <c r="A74" s="11" t="s">
        <v>16</v>
      </c>
      <c r="B74" s="13">
        <f>AF74</f>
        <v>4</v>
      </c>
      <c r="C74" s="13">
        <f>AG74</f>
        <v>2</v>
      </c>
      <c r="AC74" s="36" t="str">
        <f t="shared" si="0"/>
        <v/>
      </c>
      <c r="AD74" s="36" t="str">
        <f t="shared" si="0"/>
        <v/>
      </c>
      <c r="AF74" s="39">
        <f>SUM(AF64:AF73)</f>
        <v>4</v>
      </c>
      <c r="AG74" s="39">
        <f>SUM(AG64:AG73)</f>
        <v>2</v>
      </c>
    </row>
    <row r="75" spans="1:33" ht="16" customHeight="1">
      <c r="A75" s="1" t="s">
        <v>4</v>
      </c>
    </row>
    <row r="76" spans="1:33" ht="41.5" customHeight="1">
      <c r="A76" s="45"/>
      <c r="B76" s="46"/>
      <c r="C76" s="46"/>
      <c r="D76" s="47"/>
      <c r="AF76" s="39">
        <f>SUM(AF26,AF38,AF50,AF62,AF74)</f>
        <v>22</v>
      </c>
      <c r="AG76" s="39">
        <f>SUM(AG26,AG38,AG50,AG62,AG74)</f>
        <v>10</v>
      </c>
    </row>
    <row r="77" spans="1:33" ht="21.65" customHeight="1">
      <c r="A77" t="s">
        <v>5</v>
      </c>
    </row>
    <row r="78" spans="1:33" ht="41.5" customHeight="1">
      <c r="A78" s="45"/>
      <c r="B78" s="46"/>
      <c r="C78" s="46"/>
      <c r="D78" s="47"/>
    </row>
    <row r="79" spans="1:33" ht="21.65" customHeight="1">
      <c r="A79" t="s">
        <v>6</v>
      </c>
    </row>
    <row r="80" spans="1:33" ht="41.5" customHeight="1">
      <c r="A80" s="45"/>
      <c r="B80" s="46"/>
      <c r="C80" s="46"/>
      <c r="D80" s="47"/>
    </row>
    <row r="82" spans="1:5">
      <c r="A82" s="14" t="s">
        <v>13</v>
      </c>
      <c r="B82" s="14" t="s">
        <v>14</v>
      </c>
    </row>
    <row r="84" spans="1:5" ht="14">
      <c r="A84" s="15" t="s">
        <v>64</v>
      </c>
      <c r="B84" s="16"/>
      <c r="C84" s="15"/>
      <c r="D84" s="43" t="s">
        <v>57</v>
      </c>
      <c r="E84" s="43"/>
    </row>
    <row r="85" spans="1:5">
      <c r="A85" s="17" t="s">
        <v>17</v>
      </c>
      <c r="C85" s="17"/>
      <c r="D85" s="44" t="s">
        <v>58</v>
      </c>
      <c r="E85" s="44"/>
    </row>
    <row r="86" spans="1:5">
      <c r="D86"/>
      <c r="E86" s="4"/>
    </row>
    <row r="87" spans="1:5">
      <c r="D87"/>
      <c r="E87" s="4"/>
    </row>
    <row r="88" spans="1:5" ht="14">
      <c r="D88" s="43" t="s">
        <v>60</v>
      </c>
      <c r="E88" s="43"/>
    </row>
    <row r="89" spans="1:5">
      <c r="D89" s="44" t="s">
        <v>59</v>
      </c>
      <c r="E89" s="44"/>
    </row>
  </sheetData>
  <sheetProtection algorithmName="SHA-512" hashValue="KRG1ujBjykvS43p0xqeUeW2pizHNTEDFCCBoxL+reUYbUDRfUCqUwBfIxRsIuhsUP1mwhopr8DSBgvhOJWhfcQ==" saltValue="5hnqib15ebIQK0beRJnrOg==" spinCount="100000" sheet="1" formatCells="0" formatColumns="0" formatRows="0"/>
  <mergeCells count="15">
    <mergeCell ref="A5:D5"/>
    <mergeCell ref="A6:D6"/>
    <mergeCell ref="A7:D7"/>
    <mergeCell ref="A8:D8"/>
    <mergeCell ref="A78:D78"/>
    <mergeCell ref="A10:D10"/>
    <mergeCell ref="B11:D11"/>
    <mergeCell ref="B12:D12"/>
    <mergeCell ref="B13:D13"/>
    <mergeCell ref="A76:D76"/>
    <mergeCell ref="D84:E84"/>
    <mergeCell ref="D85:E85"/>
    <mergeCell ref="D88:E88"/>
    <mergeCell ref="D89:E89"/>
    <mergeCell ref="A80:D80"/>
  </mergeCells>
  <conditionalFormatting sqref="B16:C16">
    <cfRule type="expression" dxfId="293" priority="63">
      <formula>$AE$16&gt;1</formula>
    </cfRule>
  </conditionalFormatting>
  <conditionalFormatting sqref="B17:C17">
    <cfRule type="expression" dxfId="292" priority="62">
      <formula>$AE$17&gt;1</formula>
    </cfRule>
  </conditionalFormatting>
  <conditionalFormatting sqref="B18:C18">
    <cfRule type="expression" dxfId="291" priority="16">
      <formula>$AE$18&gt;1</formula>
    </cfRule>
  </conditionalFormatting>
  <conditionalFormatting sqref="B19:C19">
    <cfRule type="expression" dxfId="290" priority="60">
      <formula>$AE$19&gt;1</formula>
    </cfRule>
  </conditionalFormatting>
  <conditionalFormatting sqref="B20:C20">
    <cfRule type="expression" dxfId="289" priority="61">
      <formula>$AE$20&gt;1</formula>
    </cfRule>
  </conditionalFormatting>
  <conditionalFormatting sqref="B21:C21">
    <cfRule type="expression" dxfId="288" priority="59">
      <formula>$AE$21&gt;1</formula>
    </cfRule>
  </conditionalFormatting>
  <conditionalFormatting sqref="B22:C22">
    <cfRule type="expression" dxfId="287" priority="58">
      <formula>$AE$22&gt;1</formula>
    </cfRule>
  </conditionalFormatting>
  <conditionalFormatting sqref="B23:C23">
    <cfRule type="expression" dxfId="286" priority="15">
      <formula>$AE$23&gt;1</formula>
    </cfRule>
  </conditionalFormatting>
  <conditionalFormatting sqref="B24:C24">
    <cfRule type="expression" dxfId="285" priority="57">
      <formula>$AE$24&gt;1</formula>
    </cfRule>
  </conditionalFormatting>
  <conditionalFormatting sqref="B25:C25">
    <cfRule type="expression" dxfId="284" priority="56">
      <formula>$AE$25&gt;1</formula>
    </cfRule>
  </conditionalFormatting>
  <conditionalFormatting sqref="B28:C28">
    <cfRule type="expression" dxfId="283" priority="55">
      <formula>$AE$28&gt;1</formula>
    </cfRule>
  </conditionalFormatting>
  <conditionalFormatting sqref="B29:C29">
    <cfRule type="expression" dxfId="282" priority="54">
      <formula>$AE$29&gt;1</formula>
    </cfRule>
  </conditionalFormatting>
  <conditionalFormatting sqref="B30:C30">
    <cfRule type="expression" dxfId="281" priority="53">
      <formula>$AE$30&gt;1</formula>
    </cfRule>
  </conditionalFormatting>
  <conditionalFormatting sqref="B31:C31">
    <cfRule type="expression" dxfId="280" priority="14">
      <formula>$AE$31&gt;1</formula>
    </cfRule>
  </conditionalFormatting>
  <conditionalFormatting sqref="B32:C32">
    <cfRule type="expression" dxfId="279" priority="52">
      <formula>$AE$32&gt;1</formula>
    </cfRule>
  </conditionalFormatting>
  <conditionalFormatting sqref="B33:C33">
    <cfRule type="expression" dxfId="278" priority="51">
      <formula>$AE$33&gt;1</formula>
    </cfRule>
  </conditionalFormatting>
  <conditionalFormatting sqref="B34:C34">
    <cfRule type="expression" dxfId="277" priority="50">
      <formula>$AE$34&gt;1</formula>
    </cfRule>
  </conditionalFormatting>
  <conditionalFormatting sqref="B35:C35">
    <cfRule type="expression" dxfId="276" priority="13">
      <formula>$AE$35&gt;1</formula>
    </cfRule>
  </conditionalFormatting>
  <conditionalFormatting sqref="B36:C36">
    <cfRule type="expression" dxfId="275" priority="49">
      <formula>$AE$36&gt;1</formula>
    </cfRule>
  </conditionalFormatting>
  <conditionalFormatting sqref="B37:C37">
    <cfRule type="expression" dxfId="274" priority="48">
      <formula>$AE$37&gt;1</formula>
    </cfRule>
  </conditionalFormatting>
  <conditionalFormatting sqref="B40:C40">
    <cfRule type="expression" dxfId="273" priority="47">
      <formula>$AE$40&gt;1</formula>
    </cfRule>
  </conditionalFormatting>
  <conditionalFormatting sqref="B41:C41">
    <cfRule type="expression" dxfId="272" priority="46">
      <formula>$AE$41&gt;1</formula>
    </cfRule>
  </conditionalFormatting>
  <conditionalFormatting sqref="B42:C42">
    <cfRule type="expression" dxfId="271" priority="45">
      <formula>$AE$42&gt;1</formula>
    </cfRule>
  </conditionalFormatting>
  <conditionalFormatting sqref="B43:C43">
    <cfRule type="expression" dxfId="270" priority="12">
      <formula>$AE$43&gt;1</formula>
    </cfRule>
  </conditionalFormatting>
  <conditionalFormatting sqref="B44:C44">
    <cfRule type="expression" dxfId="269" priority="44">
      <formula>$AE$44&gt;1</formula>
    </cfRule>
  </conditionalFormatting>
  <conditionalFormatting sqref="B45:C45">
    <cfRule type="expression" dxfId="268" priority="43">
      <formula>$AE$45&gt;1</formula>
    </cfRule>
  </conditionalFormatting>
  <conditionalFormatting sqref="B46:C46">
    <cfRule type="expression" dxfId="267" priority="42">
      <formula>$AE$46&gt;1</formula>
    </cfRule>
  </conditionalFormatting>
  <conditionalFormatting sqref="B47:C47">
    <cfRule type="expression" dxfId="266" priority="41">
      <formula>$AE$47&gt;1</formula>
    </cfRule>
  </conditionalFormatting>
  <conditionalFormatting sqref="B48:C48">
    <cfRule type="expression" dxfId="265" priority="40">
      <formula>$AE$48&gt;1</formula>
    </cfRule>
  </conditionalFormatting>
  <conditionalFormatting sqref="B49:C49">
    <cfRule type="expression" dxfId="264" priority="39">
      <formula>$AE$49&gt;1</formula>
    </cfRule>
  </conditionalFormatting>
  <conditionalFormatting sqref="B52:C52">
    <cfRule type="expression" dxfId="263" priority="20">
      <formula>$AE$52&gt;1</formula>
    </cfRule>
  </conditionalFormatting>
  <conditionalFormatting sqref="B53:C53">
    <cfRule type="expression" dxfId="262" priority="19">
      <formula>$AE$53&gt;1</formula>
    </cfRule>
  </conditionalFormatting>
  <conditionalFormatting sqref="B54:C54">
    <cfRule type="expression" dxfId="261" priority="18">
      <formula>$AE$54&gt;1</formula>
    </cfRule>
  </conditionalFormatting>
  <conditionalFormatting sqref="B55:C55">
    <cfRule type="expression" dxfId="260" priority="11">
      <formula>$AE$55&gt;1</formula>
    </cfRule>
  </conditionalFormatting>
  <conditionalFormatting sqref="B56:C56">
    <cfRule type="expression" dxfId="259" priority="17">
      <formula>$AE$56&gt;1</formula>
    </cfRule>
  </conditionalFormatting>
  <conditionalFormatting sqref="B57:C57">
    <cfRule type="expression" dxfId="258" priority="29">
      <formula>$AE$57&gt;1</formula>
    </cfRule>
  </conditionalFormatting>
  <conditionalFormatting sqref="B58:C58">
    <cfRule type="expression" dxfId="257" priority="28">
      <formula>$AE$58&gt;1</formula>
    </cfRule>
  </conditionalFormatting>
  <conditionalFormatting sqref="B59:C59">
    <cfRule type="expression" dxfId="256" priority="27">
      <formula>$AE$59&gt;1</formula>
    </cfRule>
  </conditionalFormatting>
  <conditionalFormatting sqref="B60:C60">
    <cfRule type="expression" dxfId="255" priority="26">
      <formula>$AE$60&gt;1</formula>
    </cfRule>
  </conditionalFormatting>
  <conditionalFormatting sqref="B61:C61 B73:C73">
    <cfRule type="expression" dxfId="254" priority="25">
      <formula>$AE$73&gt;1</formula>
    </cfRule>
  </conditionalFormatting>
  <conditionalFormatting sqref="B64:C64">
    <cfRule type="expression" dxfId="253" priority="5">
      <formula>$AE$64&gt;1</formula>
    </cfRule>
  </conditionalFormatting>
  <conditionalFormatting sqref="B65:C65">
    <cfRule type="expression" dxfId="252" priority="4">
      <formula>$AE$65&gt;1</formula>
    </cfRule>
  </conditionalFormatting>
  <conditionalFormatting sqref="B66:C66">
    <cfRule type="expression" dxfId="251" priority="3">
      <formula>$AE$66&gt;1</formula>
    </cfRule>
  </conditionalFormatting>
  <conditionalFormatting sqref="B67:C67">
    <cfRule type="expression" dxfId="250" priority="1">
      <formula>$AE$67&gt;1</formula>
    </cfRule>
  </conditionalFormatting>
  <conditionalFormatting sqref="B68:C68">
    <cfRule type="expression" dxfId="249" priority="2">
      <formula>$AE$68&gt;1</formula>
    </cfRule>
  </conditionalFormatting>
  <conditionalFormatting sqref="B69:C69">
    <cfRule type="expression" dxfId="248" priority="9">
      <formula>$AE$69&gt;1</formula>
    </cfRule>
  </conditionalFormatting>
  <conditionalFormatting sqref="B70:C70">
    <cfRule type="expression" dxfId="247" priority="8">
      <formula>$AE$70&gt;1</formula>
    </cfRule>
  </conditionalFormatting>
  <conditionalFormatting sqref="B71:C71">
    <cfRule type="expression" dxfId="246" priority="7">
      <formula>$AE$71&gt;1</formula>
    </cfRule>
  </conditionalFormatting>
  <conditionalFormatting sqref="B72:C72">
    <cfRule type="expression" dxfId="245" priority="6">
      <formula>$AE$72&gt;1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4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317500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69850</xdr:rowOff>
                  </from>
                  <to>
                    <xdr:col>1</xdr:col>
                    <xdr:colOff>298450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8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21</xdr:row>
                    <xdr:rowOff>69850</xdr:rowOff>
                  </from>
                  <to>
                    <xdr:col>1</xdr:col>
                    <xdr:colOff>279400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9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323850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0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298450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27</xdr:row>
                    <xdr:rowOff>69850</xdr:rowOff>
                  </from>
                  <to>
                    <xdr:col>1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2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69850</xdr:rowOff>
                  </from>
                  <to>
                    <xdr:col>1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4" name="Check Box 39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5" name="Check Box 41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6" name="Check Box 43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7" name="Check Box 45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69850</xdr:rowOff>
                  </from>
                  <to>
                    <xdr:col>1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8" name="Check Box 47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9" name="Check Box 49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0" name="Check Box 51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1" name="Check Box 53">
              <controlPr defaultSize="0" autoFill="0" autoLine="0" autoPict="0">
                <anchor moveWithCells="1">
                  <from>
                    <xdr:col>1</xdr:col>
                    <xdr:colOff>114300</xdr:colOff>
                    <xdr:row>41</xdr:row>
                    <xdr:rowOff>69850</xdr:rowOff>
                  </from>
                  <to>
                    <xdr:col>1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2" name="Check Box 55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3" name="Check Box 5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4" name="Check Box 59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5" name="Check Box 61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6" name="Check Box 63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7" name="Check Box 65">
              <controlPr defaultSize="0" autoFill="0" autoLine="0" autoPict="0">
                <anchor moveWithCells="1">
                  <from>
                    <xdr:col>1</xdr:col>
                    <xdr:colOff>114300</xdr:colOff>
                    <xdr:row>48</xdr:row>
                    <xdr:rowOff>69850</xdr:rowOff>
                  </from>
                  <to>
                    <xdr:col>1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8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9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323850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0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323850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1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69850</xdr:rowOff>
                  </from>
                  <to>
                    <xdr:col>2</xdr:col>
                    <xdr:colOff>323850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2" name="Check Box 10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69850</xdr:rowOff>
                  </from>
                  <to>
                    <xdr:col>2</xdr:col>
                    <xdr:colOff>323850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3" name="Check Box 10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323850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4" name="Check Box 10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323850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5" name="Check Box 10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69850</xdr:rowOff>
                  </from>
                  <to>
                    <xdr:col>2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6" name="Check Box 10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69850</xdr:rowOff>
                  </from>
                  <to>
                    <xdr:col>2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7" name="Check Box 10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9" name="Check Box 10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0" name="Check Box 10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1" name="Check Box 11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69850</xdr:rowOff>
                  </from>
                  <to>
                    <xdr:col>2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2" name="Check Box 111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3" name="Check Box 112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4" name="Check Box 113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5" name="Check Box 114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69850</xdr:rowOff>
                  </from>
                  <to>
                    <xdr:col>2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6" name="Check Box 115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7" name="Check Box 116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8" name="Check Box 117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9" name="Check Box 118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0" name="Check Box 119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1" name="Check Box 120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69850</xdr:rowOff>
                  </from>
                  <to>
                    <xdr:col>2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52" name="Check Box 134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53" name="Check Box 13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323850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54" name="Check Box 136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317500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55" name="Check Box 13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323850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56" name="Check Box 138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323850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57" name="Check Box 13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323850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58" name="Check Box 140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59" name="Check Box 14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60" name="Check Box 142">
              <controlPr defaultSize="0" autoFill="0" autoLine="0" autoPict="0">
                <anchor moveWithCells="1">
                  <from>
                    <xdr:col>1</xdr:col>
                    <xdr:colOff>114300</xdr:colOff>
                    <xdr:row>35</xdr:row>
                    <xdr:rowOff>69850</xdr:rowOff>
                  </from>
                  <to>
                    <xdr:col>1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61" name="Check Box 143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69850</xdr:rowOff>
                  </from>
                  <to>
                    <xdr:col>2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62" name="Check Box 144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69850</xdr:rowOff>
                  </from>
                  <to>
                    <xdr:col>1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63" name="Check Box 145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69850</xdr:rowOff>
                  </from>
                  <to>
                    <xdr:col>2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4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5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6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55</xdr:row>
                    <xdr:rowOff>69850</xdr:rowOff>
                  </from>
                  <to>
                    <xdr:col>1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56</xdr:row>
                    <xdr:rowOff>69850</xdr:rowOff>
                  </from>
                  <to>
                    <xdr:col>1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9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0" name="Check Box 80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1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2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3" name="Check Box 121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4" name="Check Box 122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75" name="Check Box 123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76" name="Check Box 124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69850</xdr:rowOff>
                  </from>
                  <to>
                    <xdr:col>2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7" name="Check Box 125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69850</xdr:rowOff>
                  </from>
                  <to>
                    <xdr:col>2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8" name="Check Box 126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9" name="Check Box 127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0" name="Check Box 128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1" name="Check Box 129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2" name="Check Box 146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3" name="Check Box 147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84" name="Check Box 164">
              <controlPr defaultSize="0" autoFill="0" autoLine="0" autoPict="0">
                <anchor moveWithCells="1">
                  <from>
                    <xdr:col>1</xdr:col>
                    <xdr:colOff>114300</xdr:colOff>
                    <xdr:row>63</xdr:row>
                    <xdr:rowOff>69850</xdr:rowOff>
                  </from>
                  <to>
                    <xdr:col>1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85" name="Check Box 165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86" name="Check Box 166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87" name="Check Box 167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88" name="Check Box 168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89" name="Check Box 169">
              <controlPr defaultSize="0" autoFill="0" autoLine="0" autoPict="0">
                <anchor moveWithCells="1">
                  <from>
                    <xdr:col>1</xdr:col>
                    <xdr:colOff>114300</xdr:colOff>
                    <xdr:row>69</xdr:row>
                    <xdr:rowOff>69850</xdr:rowOff>
                  </from>
                  <to>
                    <xdr:col>1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0" name="Check Box 170">
              <controlPr defaultSize="0" autoFill="0" autoLine="0" autoPict="0">
                <anchor moveWithCells="1">
                  <from>
                    <xdr:col>1</xdr:col>
                    <xdr:colOff>114300</xdr:colOff>
                    <xdr:row>70</xdr:row>
                    <xdr:rowOff>69850</xdr:rowOff>
                  </from>
                  <to>
                    <xdr:col>1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91" name="Check Box 171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92" name="Check Box 172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93" name="Check Box 173">
              <controlPr defaultSize="0" autoFill="0" autoLine="0" autoPict="0">
                <anchor moveWithCells="1">
                  <from>
                    <xdr:col>2</xdr:col>
                    <xdr:colOff>114300</xdr:colOff>
                    <xdr:row>63</xdr:row>
                    <xdr:rowOff>69850</xdr:rowOff>
                  </from>
                  <to>
                    <xdr:col>2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94" name="Check Box 174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95" name="Check Box 175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96" name="Check Box 176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97" name="Check Box 177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98" name="Check Box 178">
              <controlPr defaultSize="0" autoFill="0" autoLine="0" autoPict="0">
                <anchor moveWithCells="1">
                  <from>
                    <xdr:col>2</xdr:col>
                    <xdr:colOff>114300</xdr:colOff>
                    <xdr:row>69</xdr:row>
                    <xdr:rowOff>69850</xdr:rowOff>
                  </from>
                  <to>
                    <xdr:col>2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99" name="Check Box 179">
              <controlPr defaultSize="0" autoFill="0" autoLine="0" autoPict="0">
                <anchor moveWithCells="1">
                  <from>
                    <xdr:col>2</xdr:col>
                    <xdr:colOff>114300</xdr:colOff>
                    <xdr:row>70</xdr:row>
                    <xdr:rowOff>69850</xdr:rowOff>
                  </from>
                  <to>
                    <xdr:col>2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0" name="Check Box 180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01" name="Check Box 181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02" name="Check Box 182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03" name="Check Box 183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AB9A-E180-40EB-9FE5-D57A86F744C0}">
  <dimension ref="A5:AH89"/>
  <sheetViews>
    <sheetView showGridLines="0" topLeftCell="A73" zoomScale="115" zoomScaleNormal="115" workbookViewId="0">
      <selection activeCell="B21" sqref="B21"/>
    </sheetView>
  </sheetViews>
  <sheetFormatPr defaultColWidth="9.296875" defaultRowHeight="13"/>
  <cols>
    <col min="1" max="1" width="54.69921875" style="40" customWidth="1"/>
    <col min="2" max="3" width="6.796875" style="40" customWidth="1"/>
    <col min="4" max="4" width="44.796875" style="4" customWidth="1"/>
    <col min="5" max="5" width="9.296875" style="40"/>
    <col min="6" max="25" width="9.296875" style="40" customWidth="1"/>
    <col min="26" max="26" width="9.296875" style="40"/>
    <col min="27" max="28" width="9.296875" style="35"/>
    <col min="29" max="30" width="4.19921875" style="36" customWidth="1"/>
    <col min="31" max="31" width="3.296875" style="36" customWidth="1"/>
    <col min="32" max="33" width="9.296875" style="36"/>
    <col min="34" max="34" width="9.296875" style="37"/>
    <col min="35" max="16384" width="9.296875" style="40"/>
  </cols>
  <sheetData>
    <row r="5" spans="1:33" ht="13" customHeight="1">
      <c r="A5" s="48" t="s">
        <v>10</v>
      </c>
      <c r="B5" s="48"/>
      <c r="C5" s="48"/>
      <c r="D5" s="48"/>
    </row>
    <row r="6" spans="1:33" ht="13" customHeight="1">
      <c r="A6" s="49" t="s">
        <v>11</v>
      </c>
      <c r="B6" s="49"/>
      <c r="C6" s="49"/>
      <c r="D6" s="49"/>
    </row>
    <row r="7" spans="1:33">
      <c r="A7" s="50"/>
      <c r="B7" s="50"/>
      <c r="C7" s="50"/>
      <c r="D7" s="50"/>
    </row>
    <row r="8" spans="1:33" ht="13" customHeight="1" thickBot="1">
      <c r="A8" s="51" t="s">
        <v>12</v>
      </c>
      <c r="B8" s="51"/>
      <c r="C8" s="51"/>
      <c r="D8" s="51"/>
    </row>
    <row r="9" spans="1:33" ht="7" customHeight="1" thickTop="1">
      <c r="A9" s="13"/>
      <c r="B9" s="13"/>
      <c r="C9" s="13"/>
      <c r="D9" s="13"/>
    </row>
    <row r="10" spans="1:33" ht="32.5" customHeight="1">
      <c r="A10" s="52" t="s">
        <v>18</v>
      </c>
      <c r="B10" s="53"/>
      <c r="C10" s="53"/>
      <c r="D10" s="53"/>
    </row>
    <row r="11" spans="1:33">
      <c r="A11" s="3" t="s">
        <v>7</v>
      </c>
      <c r="B11" s="54"/>
      <c r="C11" s="55"/>
      <c r="D11" s="55"/>
    </row>
    <row r="12" spans="1:33">
      <c r="A12" s="12" t="s">
        <v>8</v>
      </c>
      <c r="B12" s="54" t="s">
        <v>62</v>
      </c>
      <c r="C12" s="55"/>
      <c r="D12" s="55"/>
    </row>
    <row r="13" spans="1:33">
      <c r="A13" s="12" t="s">
        <v>9</v>
      </c>
      <c r="B13" s="54" t="s">
        <v>63</v>
      </c>
      <c r="C13" s="55"/>
      <c r="D13" s="55"/>
    </row>
    <row r="14" spans="1:33" ht="22.5" customHeight="1" thickBot="1">
      <c r="A14" s="25" t="s">
        <v>19</v>
      </c>
    </row>
    <row r="15" spans="1:33" ht="13.5" thickBot="1">
      <c r="A15" s="7" t="s">
        <v>0</v>
      </c>
      <c r="B15" s="8" t="s">
        <v>1</v>
      </c>
      <c r="C15" s="8" t="s">
        <v>2</v>
      </c>
      <c r="D15" s="9" t="s">
        <v>3</v>
      </c>
    </row>
    <row r="16" spans="1:33" ht="25" customHeight="1">
      <c r="A16" s="34" t="s">
        <v>20</v>
      </c>
      <c r="B16" s="6"/>
      <c r="C16" s="6"/>
      <c r="D16" s="18"/>
      <c r="AA16" s="35" t="b">
        <v>0</v>
      </c>
      <c r="AB16" s="35" t="b">
        <v>0</v>
      </c>
      <c r="AC16" s="36">
        <f>IF(AA16="","",IF(AA16=TRUE,1,0))</f>
        <v>0</v>
      </c>
      <c r="AD16" s="36">
        <f>IF(AB16="","",IF(AB16=TRUE,1,0))</f>
        <v>0</v>
      </c>
      <c r="AE16" s="36">
        <f>SUM(AC16:AD16)</f>
        <v>0</v>
      </c>
      <c r="AF16" s="38">
        <f>IF(AE16=1,AC16,0)</f>
        <v>0</v>
      </c>
      <c r="AG16" s="38">
        <f>IF(AE16=1,AD16,0)</f>
        <v>0</v>
      </c>
    </row>
    <row r="17" spans="1:33" ht="25" customHeight="1">
      <c r="A17" s="34" t="s">
        <v>21</v>
      </c>
      <c r="B17" s="2"/>
      <c r="C17" s="2"/>
      <c r="D17" s="19"/>
      <c r="AA17" s="35" t="b">
        <v>0</v>
      </c>
      <c r="AB17" s="35" t="b">
        <v>0</v>
      </c>
      <c r="AC17" s="36">
        <f t="shared" ref="AC17:AD74" si="0">IF(AA17="","",IF(AA17=TRUE,1,0))</f>
        <v>0</v>
      </c>
      <c r="AD17" s="36">
        <f t="shared" si="0"/>
        <v>0</v>
      </c>
      <c r="AE17" s="36">
        <f t="shared" ref="AE17:AE61" si="1">SUM(AC17:AD17)</f>
        <v>0</v>
      </c>
      <c r="AF17" s="38">
        <f t="shared" ref="AF17:AF61" si="2">IF(AE17=1,AC17,0)</f>
        <v>0</v>
      </c>
      <c r="AG17" s="38">
        <f t="shared" ref="AG17:AG61" si="3">IF(AE17=1,AD17,0)</f>
        <v>0</v>
      </c>
    </row>
    <row r="18" spans="1:33" ht="25" customHeight="1">
      <c r="A18" s="34" t="s">
        <v>22</v>
      </c>
      <c r="B18" s="2"/>
      <c r="C18" s="2"/>
      <c r="D18" s="19"/>
      <c r="AA18" s="35" t="b">
        <v>0</v>
      </c>
      <c r="AB18" s="35" t="b">
        <v>0</v>
      </c>
      <c r="AC18" s="36">
        <f t="shared" si="0"/>
        <v>0</v>
      </c>
      <c r="AD18" s="36">
        <f t="shared" si="0"/>
        <v>0</v>
      </c>
      <c r="AE18" s="36">
        <f t="shared" si="1"/>
        <v>0</v>
      </c>
      <c r="AF18" s="38">
        <f t="shared" si="2"/>
        <v>0</v>
      </c>
      <c r="AG18" s="38">
        <f t="shared" si="3"/>
        <v>0</v>
      </c>
    </row>
    <row r="19" spans="1:33" ht="25" customHeight="1">
      <c r="A19" s="34" t="s">
        <v>23</v>
      </c>
      <c r="B19" s="2"/>
      <c r="C19" s="2"/>
      <c r="D19" s="23"/>
      <c r="AA19" s="35" t="b">
        <v>0</v>
      </c>
      <c r="AB19" s="35" t="b">
        <v>0</v>
      </c>
      <c r="AC19" s="36">
        <f t="shared" si="0"/>
        <v>0</v>
      </c>
      <c r="AD19" s="36">
        <f t="shared" si="0"/>
        <v>0</v>
      </c>
      <c r="AE19" s="36">
        <f t="shared" si="1"/>
        <v>0</v>
      </c>
      <c r="AF19" s="38">
        <f t="shared" si="2"/>
        <v>0</v>
      </c>
      <c r="AG19" s="38">
        <f t="shared" si="3"/>
        <v>0</v>
      </c>
    </row>
    <row r="20" spans="1:33" ht="25" customHeight="1">
      <c r="A20" s="34" t="s">
        <v>24</v>
      </c>
      <c r="B20" s="28"/>
      <c r="C20" s="28"/>
      <c r="D20" s="30"/>
      <c r="AA20" s="35" t="b">
        <v>0</v>
      </c>
      <c r="AB20" s="35" t="b">
        <v>0</v>
      </c>
      <c r="AC20" s="36">
        <f t="shared" si="0"/>
        <v>0</v>
      </c>
      <c r="AD20" s="36">
        <f t="shared" si="0"/>
        <v>0</v>
      </c>
      <c r="AE20" s="36">
        <f t="shared" si="1"/>
        <v>0</v>
      </c>
      <c r="AF20" s="38">
        <f t="shared" si="2"/>
        <v>0</v>
      </c>
      <c r="AG20" s="38">
        <f t="shared" si="3"/>
        <v>0</v>
      </c>
    </row>
    <row r="21" spans="1:33" ht="24" customHeight="1">
      <c r="A21" s="34" t="s">
        <v>25</v>
      </c>
      <c r="B21" s="6"/>
      <c r="C21" s="6"/>
      <c r="D21" s="20"/>
      <c r="AA21" s="35" t="b">
        <v>0</v>
      </c>
      <c r="AB21" s="35" t="b">
        <v>0</v>
      </c>
      <c r="AC21" s="36">
        <f t="shared" si="0"/>
        <v>0</v>
      </c>
      <c r="AD21" s="36">
        <f t="shared" si="0"/>
        <v>0</v>
      </c>
      <c r="AE21" s="36">
        <f t="shared" si="1"/>
        <v>0</v>
      </c>
      <c r="AF21" s="38">
        <f t="shared" si="2"/>
        <v>0</v>
      </c>
      <c r="AG21" s="38">
        <f t="shared" si="3"/>
        <v>0</v>
      </c>
    </row>
    <row r="22" spans="1:33" ht="21.65" customHeight="1">
      <c r="A22" s="26"/>
      <c r="B22" s="2"/>
      <c r="C22" s="2"/>
      <c r="D22" s="21"/>
      <c r="AA22" s="35" t="b">
        <v>0</v>
      </c>
      <c r="AB22" s="35" t="b">
        <v>0</v>
      </c>
      <c r="AC22" s="36">
        <f t="shared" si="0"/>
        <v>0</v>
      </c>
      <c r="AD22" s="36">
        <f t="shared" si="0"/>
        <v>0</v>
      </c>
      <c r="AE22" s="36">
        <f t="shared" si="1"/>
        <v>0</v>
      </c>
      <c r="AF22" s="38">
        <f t="shared" si="2"/>
        <v>0</v>
      </c>
      <c r="AG22" s="38">
        <f t="shared" si="3"/>
        <v>0</v>
      </c>
    </row>
    <row r="23" spans="1:33" ht="21.65" customHeight="1">
      <c r="A23" s="26"/>
      <c r="B23" s="2"/>
      <c r="C23" s="2"/>
      <c r="D23" s="21"/>
      <c r="AA23" s="35" t="b">
        <v>0</v>
      </c>
      <c r="AB23" s="35" t="b">
        <v>0</v>
      </c>
      <c r="AC23" s="36">
        <f t="shared" si="0"/>
        <v>0</v>
      </c>
      <c r="AD23" s="36">
        <f t="shared" si="0"/>
        <v>0</v>
      </c>
      <c r="AE23" s="36">
        <f t="shared" si="1"/>
        <v>0</v>
      </c>
      <c r="AF23" s="38">
        <f t="shared" si="2"/>
        <v>0</v>
      </c>
      <c r="AG23" s="38">
        <f t="shared" si="3"/>
        <v>0</v>
      </c>
    </row>
    <row r="24" spans="1:33" ht="21.65" customHeight="1">
      <c r="A24" s="26"/>
      <c r="B24" s="2"/>
      <c r="C24" s="2"/>
      <c r="D24" s="24"/>
      <c r="AA24" s="35" t="b">
        <v>0</v>
      </c>
      <c r="AB24" s="35" t="b">
        <v>0</v>
      </c>
      <c r="AC24" s="36">
        <f t="shared" si="0"/>
        <v>0</v>
      </c>
      <c r="AD24" s="36">
        <f t="shared" si="0"/>
        <v>0</v>
      </c>
      <c r="AE24" s="36">
        <f t="shared" si="1"/>
        <v>0</v>
      </c>
      <c r="AF24" s="38">
        <f t="shared" si="2"/>
        <v>0</v>
      </c>
      <c r="AG24" s="38">
        <f t="shared" si="3"/>
        <v>0</v>
      </c>
    </row>
    <row r="25" spans="1:33" ht="21.65" customHeight="1" thickBot="1">
      <c r="A25" s="32"/>
      <c r="B25" s="5"/>
      <c r="C25" s="5"/>
      <c r="D25" s="22"/>
      <c r="AA25" s="35" t="b">
        <v>0</v>
      </c>
      <c r="AB25" s="35" t="b">
        <v>0</v>
      </c>
      <c r="AC25" s="36">
        <f t="shared" si="0"/>
        <v>0</v>
      </c>
      <c r="AD25" s="36">
        <f t="shared" si="0"/>
        <v>0</v>
      </c>
      <c r="AE25" s="36">
        <f t="shared" si="1"/>
        <v>0</v>
      </c>
      <c r="AF25" s="38">
        <f t="shared" si="2"/>
        <v>0</v>
      </c>
      <c r="AG25" s="38">
        <f t="shared" si="3"/>
        <v>0</v>
      </c>
    </row>
    <row r="26" spans="1:33" ht="21.65" customHeight="1" thickBot="1">
      <c r="A26" s="27" t="s">
        <v>26</v>
      </c>
      <c r="B26" s="13">
        <f>AF26</f>
        <v>0</v>
      </c>
      <c r="C26" s="13">
        <f>AG26</f>
        <v>0</v>
      </c>
      <c r="AC26" s="36" t="str">
        <f t="shared" si="0"/>
        <v/>
      </c>
      <c r="AD26" s="36" t="str">
        <f t="shared" si="0"/>
        <v/>
      </c>
      <c r="AF26" s="39">
        <f>SUM(AF16:AF25)</f>
        <v>0</v>
      </c>
      <c r="AG26" s="39">
        <f>SUM(AG16:AG25)</f>
        <v>0</v>
      </c>
    </row>
    <row r="27" spans="1:33" ht="21.65" customHeight="1" thickBot="1">
      <c r="A27" s="7" t="s">
        <v>0</v>
      </c>
      <c r="B27" s="8" t="s">
        <v>1</v>
      </c>
      <c r="C27" s="10" t="s">
        <v>2</v>
      </c>
      <c r="D27" s="9" t="s">
        <v>3</v>
      </c>
      <c r="AC27" s="36" t="str">
        <f t="shared" si="0"/>
        <v/>
      </c>
      <c r="AD27" s="36" t="str">
        <f t="shared" si="0"/>
        <v/>
      </c>
      <c r="AF27" s="38"/>
      <c r="AG27" s="38"/>
    </row>
    <row r="28" spans="1:33" ht="24.75" customHeight="1">
      <c r="A28" s="34" t="s">
        <v>27</v>
      </c>
      <c r="B28" s="2"/>
      <c r="C28" s="2"/>
      <c r="D28" s="20"/>
      <c r="AA28" s="35" t="b">
        <v>0</v>
      </c>
      <c r="AB28" s="35" t="b">
        <v>0</v>
      </c>
      <c r="AC28" s="36">
        <f t="shared" si="0"/>
        <v>0</v>
      </c>
      <c r="AD28" s="36">
        <f t="shared" si="0"/>
        <v>0</v>
      </c>
      <c r="AE28" s="36">
        <f t="shared" si="1"/>
        <v>0</v>
      </c>
      <c r="AF28" s="38">
        <f t="shared" si="2"/>
        <v>0</v>
      </c>
      <c r="AG28" s="38">
        <f t="shared" si="3"/>
        <v>0</v>
      </c>
    </row>
    <row r="29" spans="1:33" ht="25.5" customHeight="1">
      <c r="A29" s="34" t="s">
        <v>28</v>
      </c>
      <c r="B29" s="2"/>
      <c r="C29" s="2"/>
      <c r="D29" s="21"/>
      <c r="AA29" s="35" t="b">
        <v>0</v>
      </c>
      <c r="AB29" s="35" t="b">
        <v>0</v>
      </c>
      <c r="AC29" s="36">
        <f t="shared" si="0"/>
        <v>0</v>
      </c>
      <c r="AD29" s="36">
        <f t="shared" si="0"/>
        <v>0</v>
      </c>
      <c r="AE29" s="36">
        <f t="shared" si="1"/>
        <v>0</v>
      </c>
      <c r="AF29" s="38">
        <f t="shared" si="2"/>
        <v>0</v>
      </c>
      <c r="AG29" s="38">
        <f t="shared" si="3"/>
        <v>0</v>
      </c>
    </row>
    <row r="30" spans="1:33" ht="25.5" customHeight="1">
      <c r="A30" s="34" t="s">
        <v>29</v>
      </c>
      <c r="B30" s="2"/>
      <c r="C30" s="2"/>
      <c r="D30" s="21"/>
      <c r="AA30" s="35" t="b">
        <v>0</v>
      </c>
      <c r="AB30" s="35" t="b">
        <v>0</v>
      </c>
      <c r="AC30" s="36">
        <f t="shared" si="0"/>
        <v>0</v>
      </c>
      <c r="AD30" s="36">
        <f t="shared" si="0"/>
        <v>0</v>
      </c>
      <c r="AE30" s="36">
        <f t="shared" si="1"/>
        <v>0</v>
      </c>
      <c r="AF30" s="38">
        <f t="shared" si="2"/>
        <v>0</v>
      </c>
      <c r="AG30" s="38">
        <f t="shared" si="3"/>
        <v>0</v>
      </c>
    </row>
    <row r="31" spans="1:33" ht="27" customHeight="1">
      <c r="A31" s="34" t="s">
        <v>30</v>
      </c>
      <c r="B31" s="2"/>
      <c r="C31" s="2"/>
      <c r="D31" s="24"/>
      <c r="AA31" s="35" t="b">
        <v>0</v>
      </c>
      <c r="AB31" s="35" t="b">
        <v>0</v>
      </c>
      <c r="AC31" s="36">
        <f t="shared" si="0"/>
        <v>0</v>
      </c>
      <c r="AD31" s="36">
        <f t="shared" si="0"/>
        <v>0</v>
      </c>
      <c r="AE31" s="36">
        <f t="shared" si="1"/>
        <v>0</v>
      </c>
      <c r="AF31" s="38">
        <f t="shared" si="2"/>
        <v>0</v>
      </c>
      <c r="AG31" s="38">
        <f t="shared" si="3"/>
        <v>0</v>
      </c>
    </row>
    <row r="32" spans="1:33" ht="24.75" customHeight="1">
      <c r="A32" s="34" t="s">
        <v>31</v>
      </c>
      <c r="B32" s="28"/>
      <c r="C32" s="28"/>
      <c r="D32" s="29"/>
      <c r="AA32" s="35" t="b">
        <v>0</v>
      </c>
      <c r="AB32" s="35" t="b">
        <v>0</v>
      </c>
      <c r="AC32" s="36">
        <f t="shared" si="0"/>
        <v>0</v>
      </c>
      <c r="AD32" s="36">
        <f t="shared" si="0"/>
        <v>0</v>
      </c>
      <c r="AE32" s="36">
        <f t="shared" si="1"/>
        <v>0</v>
      </c>
      <c r="AF32" s="38">
        <f t="shared" si="2"/>
        <v>0</v>
      </c>
      <c r="AG32" s="38">
        <f t="shared" si="3"/>
        <v>0</v>
      </c>
    </row>
    <row r="33" spans="1:33" ht="27" customHeight="1">
      <c r="A33" s="34" t="s">
        <v>32</v>
      </c>
      <c r="B33" s="6"/>
      <c r="C33" s="6"/>
      <c r="D33" s="20"/>
      <c r="AA33" s="35" t="b">
        <v>0</v>
      </c>
      <c r="AB33" s="35" t="b">
        <v>0</v>
      </c>
      <c r="AC33" s="36">
        <f t="shared" si="0"/>
        <v>0</v>
      </c>
      <c r="AD33" s="36">
        <f t="shared" si="0"/>
        <v>0</v>
      </c>
      <c r="AE33" s="36">
        <f t="shared" si="1"/>
        <v>0</v>
      </c>
      <c r="AF33" s="38">
        <f t="shared" si="2"/>
        <v>0</v>
      </c>
      <c r="AG33" s="38">
        <f t="shared" si="3"/>
        <v>0</v>
      </c>
    </row>
    <row r="34" spans="1:33" ht="26.25" customHeight="1">
      <c r="A34" s="34" t="s">
        <v>33</v>
      </c>
      <c r="B34" s="2"/>
      <c r="C34" s="2"/>
      <c r="D34" s="21"/>
      <c r="AA34" s="35" t="b">
        <v>0</v>
      </c>
      <c r="AB34" s="35" t="b">
        <v>0</v>
      </c>
      <c r="AC34" s="36">
        <f t="shared" si="0"/>
        <v>0</v>
      </c>
      <c r="AD34" s="36">
        <f t="shared" si="0"/>
        <v>0</v>
      </c>
      <c r="AE34" s="36">
        <f t="shared" si="1"/>
        <v>0</v>
      </c>
      <c r="AF34" s="38">
        <f t="shared" si="2"/>
        <v>0</v>
      </c>
      <c r="AG34" s="38">
        <f t="shared" si="3"/>
        <v>0</v>
      </c>
    </row>
    <row r="35" spans="1:33" ht="21.65" customHeight="1">
      <c r="A35" s="26"/>
      <c r="B35" s="2"/>
      <c r="C35" s="2"/>
      <c r="D35" s="21"/>
      <c r="AA35" s="35" t="b">
        <v>0</v>
      </c>
      <c r="AB35" s="35" t="b">
        <v>0</v>
      </c>
      <c r="AC35" s="36">
        <f t="shared" si="0"/>
        <v>0</v>
      </c>
      <c r="AD35" s="36">
        <f t="shared" si="0"/>
        <v>0</v>
      </c>
      <c r="AE35" s="36">
        <f t="shared" si="1"/>
        <v>0</v>
      </c>
      <c r="AF35" s="38">
        <f t="shared" si="2"/>
        <v>0</v>
      </c>
      <c r="AG35" s="38">
        <f t="shared" si="3"/>
        <v>0</v>
      </c>
    </row>
    <row r="36" spans="1:33" ht="21.65" customHeight="1">
      <c r="A36" s="26"/>
      <c r="B36" s="2"/>
      <c r="C36" s="2"/>
      <c r="D36" s="24"/>
      <c r="AA36" s="35" t="b">
        <v>0</v>
      </c>
      <c r="AB36" s="35" t="b">
        <v>0</v>
      </c>
      <c r="AC36" s="36">
        <f t="shared" si="0"/>
        <v>0</v>
      </c>
      <c r="AD36" s="36">
        <f t="shared" si="0"/>
        <v>0</v>
      </c>
      <c r="AE36" s="36">
        <f t="shared" si="1"/>
        <v>0</v>
      </c>
      <c r="AF36" s="38">
        <f t="shared" si="2"/>
        <v>0</v>
      </c>
      <c r="AG36" s="38">
        <f t="shared" si="3"/>
        <v>0</v>
      </c>
    </row>
    <row r="37" spans="1:33" ht="21.65" customHeight="1" thickBot="1">
      <c r="A37" s="32"/>
      <c r="B37" s="5"/>
      <c r="C37" s="5"/>
      <c r="D37" s="22"/>
      <c r="AA37" s="35" t="b">
        <v>0</v>
      </c>
      <c r="AB37" s="35" t="b">
        <v>0</v>
      </c>
      <c r="AC37" s="36">
        <f t="shared" si="0"/>
        <v>0</v>
      </c>
      <c r="AD37" s="36">
        <f t="shared" si="0"/>
        <v>0</v>
      </c>
      <c r="AE37" s="36">
        <f t="shared" si="1"/>
        <v>0</v>
      </c>
      <c r="AF37" s="38">
        <f t="shared" si="2"/>
        <v>0</v>
      </c>
      <c r="AG37" s="38">
        <f t="shared" si="3"/>
        <v>0</v>
      </c>
    </row>
    <row r="38" spans="1:33" ht="21.65" customHeight="1" thickBot="1">
      <c r="A38" s="31" t="s">
        <v>34</v>
      </c>
      <c r="B38" s="13">
        <f>AF38</f>
        <v>0</v>
      </c>
      <c r="C38" s="13">
        <f>AG38</f>
        <v>0</v>
      </c>
      <c r="AC38" s="36" t="str">
        <f t="shared" si="0"/>
        <v/>
      </c>
      <c r="AD38" s="36" t="str">
        <f t="shared" si="0"/>
        <v/>
      </c>
      <c r="AF38" s="39">
        <f>SUM(AF28:AF37)</f>
        <v>0</v>
      </c>
      <c r="AG38" s="39">
        <f>SUM(AG28:AG37)</f>
        <v>0</v>
      </c>
    </row>
    <row r="39" spans="1:33" ht="21.65" customHeight="1" thickBot="1">
      <c r="A39" s="7" t="s">
        <v>0</v>
      </c>
      <c r="B39" s="8" t="s">
        <v>1</v>
      </c>
      <c r="C39" s="10" t="s">
        <v>2</v>
      </c>
      <c r="D39" s="9" t="s">
        <v>3</v>
      </c>
      <c r="AC39" s="36" t="str">
        <f t="shared" si="0"/>
        <v/>
      </c>
      <c r="AD39" s="36" t="str">
        <f t="shared" si="0"/>
        <v/>
      </c>
      <c r="AF39" s="38"/>
      <c r="AG39" s="38"/>
    </row>
    <row r="40" spans="1:33" ht="24" customHeight="1">
      <c r="A40" s="34" t="s">
        <v>35</v>
      </c>
      <c r="B40" s="2"/>
      <c r="C40" s="2"/>
      <c r="D40" s="20"/>
      <c r="AA40" s="35" t="b">
        <v>0</v>
      </c>
      <c r="AB40" s="35" t="b">
        <v>0</v>
      </c>
      <c r="AC40" s="36">
        <f t="shared" si="0"/>
        <v>0</v>
      </c>
      <c r="AD40" s="36">
        <f t="shared" si="0"/>
        <v>0</v>
      </c>
      <c r="AE40" s="36">
        <f t="shared" si="1"/>
        <v>0</v>
      </c>
      <c r="AF40" s="38">
        <f t="shared" si="2"/>
        <v>0</v>
      </c>
      <c r="AG40" s="38">
        <f t="shared" si="3"/>
        <v>0</v>
      </c>
    </row>
    <row r="41" spans="1:33" ht="24" customHeight="1">
      <c r="A41" s="34" t="s">
        <v>36</v>
      </c>
      <c r="B41" s="2"/>
      <c r="C41" s="2"/>
      <c r="D41" s="21"/>
      <c r="AA41" s="35" t="b">
        <v>0</v>
      </c>
      <c r="AB41" s="35" t="b">
        <v>0</v>
      </c>
      <c r="AC41" s="36">
        <f t="shared" si="0"/>
        <v>0</v>
      </c>
      <c r="AD41" s="36">
        <f t="shared" si="0"/>
        <v>0</v>
      </c>
      <c r="AE41" s="36">
        <f t="shared" si="1"/>
        <v>0</v>
      </c>
      <c r="AF41" s="38">
        <f t="shared" si="2"/>
        <v>0</v>
      </c>
      <c r="AG41" s="38">
        <f t="shared" si="3"/>
        <v>0</v>
      </c>
    </row>
    <row r="42" spans="1:33" ht="23.25" customHeight="1">
      <c r="A42" s="34" t="s">
        <v>37</v>
      </c>
      <c r="B42" s="2"/>
      <c r="C42" s="2"/>
      <c r="D42" s="21"/>
      <c r="AA42" s="35" t="b">
        <v>0</v>
      </c>
      <c r="AB42" s="35" t="b">
        <v>0</v>
      </c>
      <c r="AC42" s="36">
        <f t="shared" si="0"/>
        <v>0</v>
      </c>
      <c r="AD42" s="36">
        <f t="shared" si="0"/>
        <v>0</v>
      </c>
      <c r="AE42" s="36">
        <f t="shared" si="1"/>
        <v>0</v>
      </c>
      <c r="AF42" s="38">
        <f t="shared" si="2"/>
        <v>0</v>
      </c>
      <c r="AG42" s="38">
        <f t="shared" si="3"/>
        <v>0</v>
      </c>
    </row>
    <row r="43" spans="1:33" ht="24.75" customHeight="1">
      <c r="A43" s="34" t="s">
        <v>38</v>
      </c>
      <c r="B43" s="2"/>
      <c r="C43" s="2"/>
      <c r="D43" s="24"/>
      <c r="AA43" s="35" t="b">
        <v>0</v>
      </c>
      <c r="AB43" s="35" t="b">
        <v>0</v>
      </c>
      <c r="AC43" s="36">
        <f t="shared" si="0"/>
        <v>0</v>
      </c>
      <c r="AD43" s="36">
        <f t="shared" si="0"/>
        <v>0</v>
      </c>
      <c r="AE43" s="36">
        <f t="shared" si="1"/>
        <v>0</v>
      </c>
      <c r="AF43" s="38">
        <f t="shared" si="2"/>
        <v>0</v>
      </c>
      <c r="AG43" s="38">
        <f t="shared" si="3"/>
        <v>0</v>
      </c>
    </row>
    <row r="44" spans="1:33" ht="23.25" customHeight="1">
      <c r="A44" s="34" t="s">
        <v>39</v>
      </c>
      <c r="B44" s="28"/>
      <c r="C44" s="28"/>
      <c r="D44" s="29" t="s">
        <v>56</v>
      </c>
      <c r="AA44" s="35" t="b">
        <v>0</v>
      </c>
      <c r="AB44" s="35" t="b">
        <v>0</v>
      </c>
      <c r="AC44" s="36">
        <f t="shared" si="0"/>
        <v>0</v>
      </c>
      <c r="AD44" s="36">
        <f t="shared" si="0"/>
        <v>0</v>
      </c>
      <c r="AE44" s="36">
        <f t="shared" si="1"/>
        <v>0</v>
      </c>
      <c r="AF44" s="38">
        <f t="shared" si="2"/>
        <v>0</v>
      </c>
      <c r="AG44" s="38">
        <f t="shared" si="3"/>
        <v>0</v>
      </c>
    </row>
    <row r="45" spans="1:33" ht="24" customHeight="1">
      <c r="A45" s="34" t="s">
        <v>40</v>
      </c>
      <c r="B45" s="6"/>
      <c r="C45" s="6"/>
      <c r="D45" s="20"/>
      <c r="AA45" s="35" t="b">
        <v>0</v>
      </c>
      <c r="AB45" s="35" t="b">
        <v>0</v>
      </c>
      <c r="AC45" s="36">
        <f t="shared" si="0"/>
        <v>0</v>
      </c>
      <c r="AD45" s="36">
        <f t="shared" si="0"/>
        <v>0</v>
      </c>
      <c r="AE45" s="36">
        <f t="shared" si="1"/>
        <v>0</v>
      </c>
      <c r="AF45" s="38">
        <f t="shared" si="2"/>
        <v>0</v>
      </c>
      <c r="AG45" s="38">
        <f t="shared" si="3"/>
        <v>0</v>
      </c>
    </row>
    <row r="46" spans="1:33" ht="24" customHeight="1">
      <c r="A46" s="34" t="s">
        <v>41</v>
      </c>
      <c r="B46" s="2"/>
      <c r="C46" s="2"/>
      <c r="D46" s="21"/>
      <c r="AA46" s="35" t="b">
        <v>0</v>
      </c>
      <c r="AB46" s="35" t="b">
        <v>0</v>
      </c>
      <c r="AC46" s="36">
        <f t="shared" si="0"/>
        <v>0</v>
      </c>
      <c r="AD46" s="36">
        <f t="shared" si="0"/>
        <v>0</v>
      </c>
      <c r="AE46" s="36">
        <f t="shared" si="1"/>
        <v>0</v>
      </c>
      <c r="AF46" s="38">
        <f t="shared" si="2"/>
        <v>0</v>
      </c>
      <c r="AG46" s="38">
        <f t="shared" si="3"/>
        <v>0</v>
      </c>
    </row>
    <row r="47" spans="1:33" ht="21.65" customHeight="1">
      <c r="A47" s="26"/>
      <c r="B47" s="2"/>
      <c r="C47" s="2"/>
      <c r="D47" s="21"/>
      <c r="AA47" s="35" t="b">
        <v>0</v>
      </c>
      <c r="AB47" s="35" t="b">
        <v>0</v>
      </c>
      <c r="AC47" s="36">
        <f t="shared" si="0"/>
        <v>0</v>
      </c>
      <c r="AD47" s="36">
        <f t="shared" si="0"/>
        <v>0</v>
      </c>
      <c r="AE47" s="36">
        <f t="shared" si="1"/>
        <v>0</v>
      </c>
      <c r="AF47" s="38">
        <f t="shared" si="2"/>
        <v>0</v>
      </c>
      <c r="AG47" s="38">
        <f t="shared" si="3"/>
        <v>0</v>
      </c>
    </row>
    <row r="48" spans="1:33" ht="21.65" customHeight="1">
      <c r="A48" s="26"/>
      <c r="B48" s="2"/>
      <c r="C48" s="2"/>
      <c r="D48" s="21"/>
      <c r="AA48" s="35" t="b">
        <v>0</v>
      </c>
      <c r="AB48" s="35" t="b">
        <v>0</v>
      </c>
      <c r="AC48" s="36">
        <f t="shared" si="0"/>
        <v>0</v>
      </c>
      <c r="AD48" s="36">
        <f t="shared" si="0"/>
        <v>0</v>
      </c>
      <c r="AE48" s="36">
        <f t="shared" si="1"/>
        <v>0</v>
      </c>
      <c r="AF48" s="38">
        <f t="shared" si="2"/>
        <v>0</v>
      </c>
      <c r="AG48" s="38">
        <f t="shared" si="3"/>
        <v>0</v>
      </c>
    </row>
    <row r="49" spans="1:33" ht="21.65" customHeight="1" thickBot="1">
      <c r="A49" s="32"/>
      <c r="B49" s="5"/>
      <c r="C49" s="5"/>
      <c r="D49" s="22"/>
      <c r="AA49" s="35" t="b">
        <v>0</v>
      </c>
      <c r="AB49" s="35" t="b">
        <v>0</v>
      </c>
      <c r="AC49" s="36">
        <f t="shared" si="0"/>
        <v>0</v>
      </c>
      <c r="AD49" s="36">
        <f t="shared" si="0"/>
        <v>0</v>
      </c>
      <c r="AE49" s="36">
        <f t="shared" si="1"/>
        <v>0</v>
      </c>
      <c r="AF49" s="38">
        <f t="shared" si="2"/>
        <v>0</v>
      </c>
      <c r="AG49" s="38">
        <f t="shared" si="3"/>
        <v>0</v>
      </c>
    </row>
    <row r="50" spans="1:33" ht="21.65" customHeight="1" thickBot="1">
      <c r="A50" s="27" t="s">
        <v>42</v>
      </c>
      <c r="B50" s="13">
        <f>AF50</f>
        <v>0</v>
      </c>
      <c r="C50" s="13">
        <f>AG50</f>
        <v>0</v>
      </c>
      <c r="AC50" s="36" t="str">
        <f t="shared" si="0"/>
        <v/>
      </c>
      <c r="AD50" s="36" t="str">
        <f t="shared" si="0"/>
        <v/>
      </c>
      <c r="AF50" s="39">
        <f>SUM(AF40:AF49)</f>
        <v>0</v>
      </c>
      <c r="AG50" s="39">
        <f>SUM(AG40:AG49)</f>
        <v>0</v>
      </c>
    </row>
    <row r="51" spans="1:33" ht="21.65" customHeight="1" thickBot="1">
      <c r="A51" s="33" t="s">
        <v>15</v>
      </c>
      <c r="B51" s="8" t="s">
        <v>1</v>
      </c>
      <c r="C51" s="10" t="s">
        <v>2</v>
      </c>
      <c r="D51" s="9" t="s">
        <v>3</v>
      </c>
      <c r="AC51" s="36" t="str">
        <f t="shared" si="0"/>
        <v/>
      </c>
      <c r="AD51" s="36" t="str">
        <f t="shared" si="0"/>
        <v/>
      </c>
      <c r="AF51" s="38"/>
      <c r="AG51" s="38"/>
    </row>
    <row r="52" spans="1:33" ht="23.25" customHeight="1">
      <c r="A52" s="34" t="s">
        <v>43</v>
      </c>
      <c r="B52" s="6"/>
      <c r="C52" s="6"/>
      <c r="D52" s="20"/>
      <c r="AA52" s="35" t="b">
        <v>0</v>
      </c>
      <c r="AB52" s="35" t="b">
        <v>0</v>
      </c>
      <c r="AC52" s="36">
        <f t="shared" si="0"/>
        <v>0</v>
      </c>
      <c r="AD52" s="36">
        <f t="shared" si="0"/>
        <v>0</v>
      </c>
      <c r="AE52" s="36">
        <f t="shared" si="1"/>
        <v>0</v>
      </c>
      <c r="AF52" s="38">
        <f t="shared" si="2"/>
        <v>0</v>
      </c>
      <c r="AG52" s="38">
        <f t="shared" si="3"/>
        <v>0</v>
      </c>
    </row>
    <row r="53" spans="1:33" ht="21.65" customHeight="1">
      <c r="A53" s="34" t="s">
        <v>44</v>
      </c>
      <c r="B53" s="2"/>
      <c r="C53" s="2"/>
      <c r="D53" s="21"/>
      <c r="AA53" s="35" t="b">
        <v>0</v>
      </c>
      <c r="AB53" s="35" t="b">
        <v>0</v>
      </c>
      <c r="AC53" s="36">
        <f t="shared" si="0"/>
        <v>0</v>
      </c>
      <c r="AD53" s="36">
        <f t="shared" si="0"/>
        <v>0</v>
      </c>
      <c r="AE53" s="36">
        <f t="shared" si="1"/>
        <v>0</v>
      </c>
      <c r="AF53" s="38">
        <f t="shared" si="2"/>
        <v>0</v>
      </c>
      <c r="AG53" s="38">
        <f t="shared" si="3"/>
        <v>0</v>
      </c>
    </row>
    <row r="54" spans="1:33" ht="21.65" customHeight="1">
      <c r="A54" s="34" t="s">
        <v>45</v>
      </c>
      <c r="B54" s="2"/>
      <c r="C54" s="2"/>
      <c r="D54" s="21"/>
      <c r="AA54" s="35" t="b">
        <v>0</v>
      </c>
      <c r="AB54" s="35" t="b">
        <v>0</v>
      </c>
      <c r="AC54" s="36">
        <f t="shared" si="0"/>
        <v>0</v>
      </c>
      <c r="AD54" s="36">
        <f t="shared" si="0"/>
        <v>0</v>
      </c>
      <c r="AE54" s="36">
        <f t="shared" si="1"/>
        <v>0</v>
      </c>
      <c r="AF54" s="38">
        <f t="shared" si="2"/>
        <v>0</v>
      </c>
      <c r="AG54" s="38">
        <f t="shared" si="3"/>
        <v>0</v>
      </c>
    </row>
    <row r="55" spans="1:33" ht="24.75" customHeight="1">
      <c r="A55" s="34" t="s">
        <v>46</v>
      </c>
      <c r="B55" s="2"/>
      <c r="C55" s="2"/>
      <c r="D55" s="24"/>
      <c r="AA55" s="35" t="b">
        <v>0</v>
      </c>
      <c r="AB55" s="35" t="b">
        <v>0</v>
      </c>
      <c r="AC55" s="36">
        <f t="shared" si="0"/>
        <v>0</v>
      </c>
      <c r="AD55" s="36">
        <f t="shared" si="0"/>
        <v>0</v>
      </c>
      <c r="AE55" s="36">
        <f t="shared" si="1"/>
        <v>0</v>
      </c>
      <c r="AF55" s="38">
        <f t="shared" si="2"/>
        <v>0</v>
      </c>
      <c r="AG55" s="38">
        <f t="shared" si="3"/>
        <v>0</v>
      </c>
    </row>
    <row r="56" spans="1:33" ht="22.5" customHeight="1">
      <c r="A56" s="34" t="s">
        <v>47</v>
      </c>
      <c r="B56" s="28"/>
      <c r="C56" s="28"/>
      <c r="D56" s="29"/>
      <c r="AA56" s="35" t="b">
        <v>0</v>
      </c>
      <c r="AB56" s="35" t="b">
        <v>0</v>
      </c>
      <c r="AC56" s="36">
        <f t="shared" si="0"/>
        <v>0</v>
      </c>
      <c r="AD56" s="36">
        <f t="shared" si="0"/>
        <v>0</v>
      </c>
      <c r="AE56" s="36">
        <f t="shared" si="1"/>
        <v>0</v>
      </c>
      <c r="AF56" s="38">
        <f t="shared" si="2"/>
        <v>0</v>
      </c>
      <c r="AG56" s="38">
        <f t="shared" si="3"/>
        <v>0</v>
      </c>
    </row>
    <row r="57" spans="1:33" ht="23.25" customHeight="1">
      <c r="A57" s="34" t="s">
        <v>48</v>
      </c>
      <c r="B57" s="6"/>
      <c r="C57" s="6"/>
      <c r="D57" s="20"/>
      <c r="AA57" s="35" t="b">
        <v>0</v>
      </c>
      <c r="AB57" s="35" t="b">
        <v>0</v>
      </c>
      <c r="AC57" s="36">
        <f t="shared" si="0"/>
        <v>0</v>
      </c>
      <c r="AD57" s="36">
        <f t="shared" si="0"/>
        <v>0</v>
      </c>
      <c r="AE57" s="36">
        <f t="shared" si="1"/>
        <v>0</v>
      </c>
      <c r="AF57" s="38">
        <f t="shared" si="2"/>
        <v>0</v>
      </c>
      <c r="AG57" s="38">
        <f t="shared" si="3"/>
        <v>0</v>
      </c>
    </row>
    <row r="58" spans="1:33" ht="21.65" customHeight="1">
      <c r="A58" s="26"/>
      <c r="B58" s="2"/>
      <c r="C58" s="2"/>
      <c r="D58" s="21"/>
      <c r="AA58" s="35" t="b">
        <v>0</v>
      </c>
      <c r="AB58" s="35" t="b">
        <v>0</v>
      </c>
      <c r="AC58" s="36">
        <f t="shared" si="0"/>
        <v>0</v>
      </c>
      <c r="AD58" s="36">
        <f t="shared" si="0"/>
        <v>0</v>
      </c>
      <c r="AE58" s="36">
        <f t="shared" si="1"/>
        <v>0</v>
      </c>
      <c r="AF58" s="38">
        <f t="shared" si="2"/>
        <v>0</v>
      </c>
      <c r="AG58" s="38">
        <f t="shared" si="3"/>
        <v>0</v>
      </c>
    </row>
    <row r="59" spans="1:33" ht="21.65" customHeight="1">
      <c r="A59" s="26"/>
      <c r="B59" s="2"/>
      <c r="C59" s="2"/>
      <c r="D59" s="21"/>
      <c r="AA59" s="35" t="b">
        <v>0</v>
      </c>
      <c r="AB59" s="35" t="b">
        <v>0</v>
      </c>
      <c r="AC59" s="36">
        <f t="shared" si="0"/>
        <v>0</v>
      </c>
      <c r="AD59" s="36">
        <f t="shared" si="0"/>
        <v>0</v>
      </c>
      <c r="AE59" s="36">
        <f t="shared" si="1"/>
        <v>0</v>
      </c>
      <c r="AF59" s="38">
        <f t="shared" si="2"/>
        <v>0</v>
      </c>
      <c r="AG59" s="38">
        <f t="shared" si="3"/>
        <v>0</v>
      </c>
    </row>
    <row r="60" spans="1:33" ht="21.65" customHeight="1">
      <c r="A60" s="26"/>
      <c r="B60" s="2"/>
      <c r="C60" s="2"/>
      <c r="D60" s="21"/>
      <c r="AA60" s="35" t="b">
        <v>0</v>
      </c>
      <c r="AB60" s="35" t="b">
        <v>0</v>
      </c>
      <c r="AC60" s="36">
        <f t="shared" si="0"/>
        <v>0</v>
      </c>
      <c r="AD60" s="36">
        <f t="shared" si="0"/>
        <v>0</v>
      </c>
      <c r="AE60" s="36">
        <f t="shared" si="1"/>
        <v>0</v>
      </c>
      <c r="AF60" s="38">
        <f t="shared" si="2"/>
        <v>0</v>
      </c>
      <c r="AG60" s="38">
        <f t="shared" si="3"/>
        <v>0</v>
      </c>
    </row>
    <row r="61" spans="1:33" ht="21.65" customHeight="1" thickBot="1">
      <c r="A61" s="32"/>
      <c r="B61" s="5"/>
      <c r="C61" s="5"/>
      <c r="D61" s="22"/>
      <c r="AA61" s="35" t="b">
        <v>0</v>
      </c>
      <c r="AB61" s="35" t="b">
        <v>0</v>
      </c>
      <c r="AC61" s="36">
        <f t="shared" si="0"/>
        <v>0</v>
      </c>
      <c r="AD61" s="36">
        <f t="shared" si="0"/>
        <v>0</v>
      </c>
      <c r="AE61" s="36">
        <f t="shared" si="1"/>
        <v>0</v>
      </c>
      <c r="AF61" s="38">
        <f t="shared" si="2"/>
        <v>0</v>
      </c>
      <c r="AG61" s="38">
        <f t="shared" si="3"/>
        <v>0</v>
      </c>
    </row>
    <row r="62" spans="1:33" ht="21.65" customHeight="1" thickBot="1">
      <c r="A62" s="27" t="s">
        <v>49</v>
      </c>
      <c r="B62" s="13">
        <f>AF62</f>
        <v>0</v>
      </c>
      <c r="C62" s="13">
        <f>AG62</f>
        <v>0</v>
      </c>
      <c r="AC62" s="36" t="str">
        <f t="shared" si="0"/>
        <v/>
      </c>
      <c r="AD62" s="36" t="str">
        <f t="shared" si="0"/>
        <v/>
      </c>
      <c r="AF62" s="39">
        <f>SUM(AF52:AF61)</f>
        <v>0</v>
      </c>
      <c r="AG62" s="39">
        <f>SUM(AG52:AG61)</f>
        <v>0</v>
      </c>
    </row>
    <row r="63" spans="1:33" ht="21.65" customHeight="1" thickBot="1">
      <c r="A63" s="33" t="s">
        <v>15</v>
      </c>
      <c r="B63" s="8" t="s">
        <v>1</v>
      </c>
      <c r="C63" s="10" t="s">
        <v>2</v>
      </c>
      <c r="D63" s="9" t="s">
        <v>3</v>
      </c>
      <c r="AC63" s="36" t="str">
        <f t="shared" si="0"/>
        <v/>
      </c>
      <c r="AD63" s="36" t="str">
        <f t="shared" si="0"/>
        <v/>
      </c>
      <c r="AF63" s="38"/>
      <c r="AG63" s="38"/>
    </row>
    <row r="64" spans="1:33" ht="22.5" customHeight="1">
      <c r="A64" s="34" t="s">
        <v>50</v>
      </c>
      <c r="B64" s="6"/>
      <c r="C64" s="6"/>
      <c r="D64" s="20"/>
      <c r="AA64" s="35" t="b">
        <v>0</v>
      </c>
      <c r="AB64" s="35" t="b">
        <v>0</v>
      </c>
      <c r="AC64" s="36">
        <f t="shared" si="0"/>
        <v>0</v>
      </c>
      <c r="AD64" s="36">
        <f t="shared" si="0"/>
        <v>0</v>
      </c>
      <c r="AE64" s="36">
        <f t="shared" ref="AE64:AE73" si="4">SUM(AC64:AD64)</f>
        <v>0</v>
      </c>
      <c r="AF64" s="38">
        <f t="shared" ref="AF64:AF73" si="5">IF(AE64=1,AC64,0)</f>
        <v>0</v>
      </c>
      <c r="AG64" s="38">
        <f t="shared" ref="AG64:AG73" si="6">IF(AE64=1,AD64,0)</f>
        <v>0</v>
      </c>
    </row>
    <row r="65" spans="1:33" ht="22.5" customHeight="1">
      <c r="A65" s="34" t="s">
        <v>51</v>
      </c>
      <c r="B65" s="2"/>
      <c r="C65" s="2"/>
      <c r="D65" s="21"/>
      <c r="AA65" s="35" t="b">
        <v>0</v>
      </c>
      <c r="AB65" s="35" t="b">
        <v>0</v>
      </c>
      <c r="AC65" s="36">
        <f t="shared" si="0"/>
        <v>0</v>
      </c>
      <c r="AD65" s="36">
        <f t="shared" si="0"/>
        <v>0</v>
      </c>
      <c r="AE65" s="36">
        <f t="shared" si="4"/>
        <v>0</v>
      </c>
      <c r="AF65" s="38">
        <f t="shared" si="5"/>
        <v>0</v>
      </c>
      <c r="AG65" s="38">
        <f t="shared" si="6"/>
        <v>0</v>
      </c>
    </row>
    <row r="66" spans="1:33" ht="23.25" customHeight="1">
      <c r="A66" s="34" t="s">
        <v>52</v>
      </c>
      <c r="B66" s="2"/>
      <c r="C66" s="2"/>
      <c r="D66" s="21"/>
      <c r="AA66" s="35" t="b">
        <v>0</v>
      </c>
      <c r="AB66" s="35" t="b">
        <v>0</v>
      </c>
      <c r="AC66" s="36">
        <f t="shared" si="0"/>
        <v>0</v>
      </c>
      <c r="AD66" s="36">
        <f t="shared" si="0"/>
        <v>0</v>
      </c>
      <c r="AE66" s="36">
        <f t="shared" si="4"/>
        <v>0</v>
      </c>
      <c r="AF66" s="38">
        <f t="shared" si="5"/>
        <v>0</v>
      </c>
      <c r="AG66" s="38">
        <f t="shared" si="6"/>
        <v>0</v>
      </c>
    </row>
    <row r="67" spans="1:33" ht="24.75" customHeight="1">
      <c r="A67" s="34" t="s">
        <v>53</v>
      </c>
      <c r="B67" s="2"/>
      <c r="C67" s="2"/>
      <c r="D67" s="24"/>
      <c r="AA67" s="35" t="b">
        <v>0</v>
      </c>
      <c r="AB67" s="35" t="b">
        <v>0</v>
      </c>
      <c r="AC67" s="36">
        <f t="shared" si="0"/>
        <v>0</v>
      </c>
      <c r="AD67" s="36">
        <f t="shared" si="0"/>
        <v>0</v>
      </c>
      <c r="AE67" s="36">
        <f t="shared" si="4"/>
        <v>0</v>
      </c>
      <c r="AF67" s="38">
        <f t="shared" si="5"/>
        <v>0</v>
      </c>
      <c r="AG67" s="38">
        <f t="shared" si="6"/>
        <v>0</v>
      </c>
    </row>
    <row r="68" spans="1:33" ht="24" customHeight="1">
      <c r="A68" s="34" t="s">
        <v>54</v>
      </c>
      <c r="B68" s="28"/>
      <c r="C68" s="28"/>
      <c r="D68" s="29"/>
      <c r="AA68" s="35" t="b">
        <v>0</v>
      </c>
      <c r="AB68" s="35" t="b">
        <v>0</v>
      </c>
      <c r="AC68" s="36">
        <f t="shared" si="0"/>
        <v>0</v>
      </c>
      <c r="AD68" s="36">
        <f t="shared" si="0"/>
        <v>0</v>
      </c>
      <c r="AE68" s="36">
        <f t="shared" si="4"/>
        <v>0</v>
      </c>
      <c r="AF68" s="38">
        <f t="shared" si="5"/>
        <v>0</v>
      </c>
      <c r="AG68" s="38">
        <f t="shared" si="6"/>
        <v>0</v>
      </c>
    </row>
    <row r="69" spans="1:33" ht="21.65" customHeight="1">
      <c r="A69" s="34" t="s">
        <v>55</v>
      </c>
      <c r="B69" s="6"/>
      <c r="C69" s="6"/>
      <c r="D69" s="20"/>
      <c r="AA69" s="35" t="b">
        <v>0</v>
      </c>
      <c r="AB69" s="35" t="b">
        <v>0</v>
      </c>
      <c r="AC69" s="36">
        <f t="shared" si="0"/>
        <v>0</v>
      </c>
      <c r="AD69" s="36">
        <f t="shared" si="0"/>
        <v>0</v>
      </c>
      <c r="AE69" s="36">
        <f t="shared" si="4"/>
        <v>0</v>
      </c>
      <c r="AF69" s="38">
        <f t="shared" si="5"/>
        <v>0</v>
      </c>
      <c r="AG69" s="38">
        <f t="shared" si="6"/>
        <v>0</v>
      </c>
    </row>
    <row r="70" spans="1:33" ht="21.65" customHeight="1">
      <c r="A70" s="26"/>
      <c r="B70" s="2"/>
      <c r="C70" s="2"/>
      <c r="D70" s="21"/>
      <c r="AA70" s="35" t="b">
        <v>0</v>
      </c>
      <c r="AB70" s="35" t="b">
        <v>0</v>
      </c>
      <c r="AC70" s="36">
        <f t="shared" si="0"/>
        <v>0</v>
      </c>
      <c r="AD70" s="36">
        <f t="shared" si="0"/>
        <v>0</v>
      </c>
      <c r="AE70" s="36">
        <f t="shared" si="4"/>
        <v>0</v>
      </c>
      <c r="AF70" s="38">
        <f t="shared" si="5"/>
        <v>0</v>
      </c>
      <c r="AG70" s="38">
        <f t="shared" si="6"/>
        <v>0</v>
      </c>
    </row>
    <row r="71" spans="1:33" ht="21.65" customHeight="1">
      <c r="A71" s="26"/>
      <c r="B71" s="2"/>
      <c r="C71" s="2"/>
      <c r="D71" s="21"/>
      <c r="AA71" s="35" t="b">
        <v>0</v>
      </c>
      <c r="AB71" s="35" t="b">
        <v>0</v>
      </c>
      <c r="AC71" s="36">
        <f t="shared" si="0"/>
        <v>0</v>
      </c>
      <c r="AD71" s="36">
        <f t="shared" si="0"/>
        <v>0</v>
      </c>
      <c r="AE71" s="36">
        <f t="shared" si="4"/>
        <v>0</v>
      </c>
      <c r="AF71" s="38">
        <f t="shared" si="5"/>
        <v>0</v>
      </c>
      <c r="AG71" s="38">
        <f t="shared" si="6"/>
        <v>0</v>
      </c>
    </row>
    <row r="72" spans="1:33" ht="21.65" customHeight="1">
      <c r="A72" s="26"/>
      <c r="B72" s="2"/>
      <c r="C72" s="2"/>
      <c r="D72" s="21"/>
      <c r="AA72" s="35" t="b">
        <v>0</v>
      </c>
      <c r="AB72" s="35" t="b">
        <v>0</v>
      </c>
      <c r="AC72" s="36">
        <f t="shared" si="0"/>
        <v>0</v>
      </c>
      <c r="AD72" s="36">
        <f t="shared" si="0"/>
        <v>0</v>
      </c>
      <c r="AE72" s="36">
        <f t="shared" si="4"/>
        <v>0</v>
      </c>
      <c r="AF72" s="38">
        <f t="shared" si="5"/>
        <v>0</v>
      </c>
      <c r="AG72" s="38">
        <f t="shared" si="6"/>
        <v>0</v>
      </c>
    </row>
    <row r="73" spans="1:33" ht="21.65" customHeight="1" thickBot="1">
      <c r="A73" s="32"/>
      <c r="B73" s="5"/>
      <c r="C73" s="5"/>
      <c r="D73" s="22"/>
      <c r="AA73" s="35" t="b">
        <v>0</v>
      </c>
      <c r="AB73" s="35" t="b">
        <v>0</v>
      </c>
      <c r="AC73" s="36">
        <f t="shared" si="0"/>
        <v>0</v>
      </c>
      <c r="AD73" s="36">
        <f t="shared" si="0"/>
        <v>0</v>
      </c>
      <c r="AE73" s="36">
        <f t="shared" si="4"/>
        <v>0</v>
      </c>
      <c r="AF73" s="38">
        <f t="shared" si="5"/>
        <v>0</v>
      </c>
      <c r="AG73" s="38">
        <f t="shared" si="6"/>
        <v>0</v>
      </c>
    </row>
    <row r="74" spans="1:33" ht="21.65" customHeight="1">
      <c r="A74" s="11" t="s">
        <v>16</v>
      </c>
      <c r="B74" s="13">
        <f>AF74</f>
        <v>0</v>
      </c>
      <c r="C74" s="13">
        <f>AG74</f>
        <v>0</v>
      </c>
      <c r="AC74" s="36" t="str">
        <f t="shared" si="0"/>
        <v/>
      </c>
      <c r="AD74" s="36" t="str">
        <f t="shared" si="0"/>
        <v/>
      </c>
      <c r="AF74" s="39">
        <f>SUM(AF64:AF73)</f>
        <v>0</v>
      </c>
      <c r="AG74" s="39">
        <f>SUM(AG64:AG73)</f>
        <v>0</v>
      </c>
    </row>
    <row r="75" spans="1:33" ht="16" customHeight="1">
      <c r="A75" s="1" t="s">
        <v>4</v>
      </c>
    </row>
    <row r="76" spans="1:33" ht="41.5" customHeight="1">
      <c r="A76" s="45"/>
      <c r="B76" s="46"/>
      <c r="C76" s="46"/>
      <c r="D76" s="47"/>
      <c r="AF76" s="39">
        <f>SUM(AF26,AF38,AF50,AF62,AF74)</f>
        <v>0</v>
      </c>
      <c r="AG76" s="39">
        <f>SUM(AG26,AG38,AG50,AG62,AG74)</f>
        <v>0</v>
      </c>
    </row>
    <row r="77" spans="1:33" ht="21.65" customHeight="1">
      <c r="A77" s="40" t="s">
        <v>5</v>
      </c>
    </row>
    <row r="78" spans="1:33" ht="41.5" customHeight="1">
      <c r="A78" s="45"/>
      <c r="B78" s="46"/>
      <c r="C78" s="46"/>
      <c r="D78" s="47"/>
    </row>
    <row r="79" spans="1:33" ht="21.65" customHeight="1">
      <c r="A79" s="40" t="s">
        <v>6</v>
      </c>
    </row>
    <row r="80" spans="1:33" ht="41.5" customHeight="1">
      <c r="A80" s="45"/>
      <c r="B80" s="46"/>
      <c r="C80" s="46"/>
      <c r="D80" s="47"/>
    </row>
    <row r="82" spans="1:5">
      <c r="A82" s="14" t="s">
        <v>13</v>
      </c>
      <c r="B82" s="14" t="s">
        <v>14</v>
      </c>
    </row>
    <row r="84" spans="1:5" ht="14">
      <c r="A84" s="41" t="s">
        <v>64</v>
      </c>
      <c r="B84" s="16"/>
      <c r="C84" s="41"/>
      <c r="D84" s="43" t="s">
        <v>57</v>
      </c>
      <c r="E84" s="43"/>
    </row>
    <row r="85" spans="1:5">
      <c r="A85" s="42" t="s">
        <v>17</v>
      </c>
      <c r="C85" s="42"/>
      <c r="D85" s="44" t="s">
        <v>58</v>
      </c>
      <c r="E85" s="44"/>
    </row>
    <row r="86" spans="1:5">
      <c r="D86" s="40"/>
      <c r="E86" s="4"/>
    </row>
    <row r="87" spans="1:5">
      <c r="D87" s="40"/>
      <c r="E87" s="4"/>
    </row>
    <row r="88" spans="1:5" ht="14">
      <c r="D88" s="43" t="s">
        <v>60</v>
      </c>
      <c r="E88" s="43"/>
    </row>
    <row r="89" spans="1:5">
      <c r="D89" s="44" t="s">
        <v>59</v>
      </c>
      <c r="E89" s="44"/>
    </row>
  </sheetData>
  <sheetProtection algorithmName="SHA-512" hashValue="KRG1ujBjykvS43p0xqeUeW2pizHNTEDFCCBoxL+reUYbUDRfUCqUwBfIxRsIuhsUP1mwhopr8DSBgvhOJWhfcQ==" saltValue="5hnqib15ebIQK0beRJnrOg==" spinCount="100000" sheet="1" formatCells="0" formatColumns="0" formatRows="0"/>
  <mergeCells count="15">
    <mergeCell ref="D85:E85"/>
    <mergeCell ref="D88:E88"/>
    <mergeCell ref="D89:E89"/>
    <mergeCell ref="B12:D12"/>
    <mergeCell ref="B13:D13"/>
    <mergeCell ref="A76:D76"/>
    <mergeCell ref="A78:D78"/>
    <mergeCell ref="A80:D80"/>
    <mergeCell ref="D84:E84"/>
    <mergeCell ref="A5:D5"/>
    <mergeCell ref="A6:D6"/>
    <mergeCell ref="A7:D7"/>
    <mergeCell ref="A8:D8"/>
    <mergeCell ref="A10:D10"/>
    <mergeCell ref="B11:D11"/>
  </mergeCells>
  <conditionalFormatting sqref="B16:C16">
    <cfRule type="expression" dxfId="244" priority="49">
      <formula>$AE$16&gt;1</formula>
    </cfRule>
  </conditionalFormatting>
  <conditionalFormatting sqref="B17:C17">
    <cfRule type="expression" dxfId="243" priority="48">
      <formula>$AE$17&gt;1</formula>
    </cfRule>
  </conditionalFormatting>
  <conditionalFormatting sqref="B18:C18">
    <cfRule type="expression" dxfId="242" priority="15">
      <formula>$AE$18&gt;1</formula>
    </cfRule>
  </conditionalFormatting>
  <conditionalFormatting sqref="B19:C19">
    <cfRule type="expression" dxfId="241" priority="46">
      <formula>$AE$19&gt;1</formula>
    </cfRule>
  </conditionalFormatting>
  <conditionalFormatting sqref="B20:C20">
    <cfRule type="expression" dxfId="240" priority="47">
      <formula>$AE$20&gt;1</formula>
    </cfRule>
  </conditionalFormatting>
  <conditionalFormatting sqref="B21:C21">
    <cfRule type="expression" dxfId="239" priority="45">
      <formula>$AE$21&gt;1</formula>
    </cfRule>
  </conditionalFormatting>
  <conditionalFormatting sqref="B22:C22">
    <cfRule type="expression" dxfId="238" priority="44">
      <formula>$AE$22&gt;1</formula>
    </cfRule>
  </conditionalFormatting>
  <conditionalFormatting sqref="B23:C23">
    <cfRule type="expression" dxfId="237" priority="14">
      <formula>$AE$23&gt;1</formula>
    </cfRule>
  </conditionalFormatting>
  <conditionalFormatting sqref="B24:C24">
    <cfRule type="expression" dxfId="236" priority="43">
      <formula>$AE$24&gt;1</formula>
    </cfRule>
  </conditionalFormatting>
  <conditionalFormatting sqref="B25:C25">
    <cfRule type="expression" dxfId="235" priority="42">
      <formula>$AE$25&gt;1</formula>
    </cfRule>
  </conditionalFormatting>
  <conditionalFormatting sqref="B28:C28">
    <cfRule type="expression" dxfId="234" priority="41">
      <formula>$AE$28&gt;1</formula>
    </cfRule>
  </conditionalFormatting>
  <conditionalFormatting sqref="B29:C29">
    <cfRule type="expression" dxfId="233" priority="40">
      <formula>$AE$29&gt;1</formula>
    </cfRule>
  </conditionalFormatting>
  <conditionalFormatting sqref="B30:C30">
    <cfRule type="expression" dxfId="232" priority="39">
      <formula>$AE$30&gt;1</formula>
    </cfRule>
  </conditionalFormatting>
  <conditionalFormatting sqref="B31:C31">
    <cfRule type="expression" dxfId="231" priority="13">
      <formula>$AE$31&gt;1</formula>
    </cfRule>
  </conditionalFormatting>
  <conditionalFormatting sqref="B32:C32">
    <cfRule type="expression" dxfId="230" priority="38">
      <formula>$AE$32&gt;1</formula>
    </cfRule>
  </conditionalFormatting>
  <conditionalFormatting sqref="B33:C33">
    <cfRule type="expression" dxfId="229" priority="37">
      <formula>$AE$33&gt;1</formula>
    </cfRule>
  </conditionalFormatting>
  <conditionalFormatting sqref="B34:C34">
    <cfRule type="expression" dxfId="228" priority="36">
      <formula>$AE$34&gt;1</formula>
    </cfRule>
  </conditionalFormatting>
  <conditionalFormatting sqref="B35:C35">
    <cfRule type="expression" dxfId="227" priority="12">
      <formula>$AE$35&gt;1</formula>
    </cfRule>
  </conditionalFormatting>
  <conditionalFormatting sqref="B36:C36">
    <cfRule type="expression" dxfId="226" priority="35">
      <formula>$AE$36&gt;1</formula>
    </cfRule>
  </conditionalFormatting>
  <conditionalFormatting sqref="B37:C37">
    <cfRule type="expression" dxfId="225" priority="34">
      <formula>$AE$37&gt;1</formula>
    </cfRule>
  </conditionalFormatting>
  <conditionalFormatting sqref="B40:C40">
    <cfRule type="expression" dxfId="224" priority="33">
      <formula>$AE$40&gt;1</formula>
    </cfRule>
  </conditionalFormatting>
  <conditionalFormatting sqref="B41:C41">
    <cfRule type="expression" dxfId="223" priority="32">
      <formula>$AE$41&gt;1</formula>
    </cfRule>
  </conditionalFormatting>
  <conditionalFormatting sqref="B42:C42">
    <cfRule type="expression" dxfId="222" priority="31">
      <formula>$AE$42&gt;1</formula>
    </cfRule>
  </conditionalFormatting>
  <conditionalFormatting sqref="B43:C43">
    <cfRule type="expression" dxfId="221" priority="11">
      <formula>$AE$43&gt;1</formula>
    </cfRule>
  </conditionalFormatting>
  <conditionalFormatting sqref="B44:C44">
    <cfRule type="expression" dxfId="220" priority="30">
      <formula>$AE$44&gt;1</formula>
    </cfRule>
  </conditionalFormatting>
  <conditionalFormatting sqref="B45:C45">
    <cfRule type="expression" dxfId="219" priority="29">
      <formula>$AE$45&gt;1</formula>
    </cfRule>
  </conditionalFormatting>
  <conditionalFormatting sqref="B46:C46">
    <cfRule type="expression" dxfId="218" priority="28">
      <formula>$AE$46&gt;1</formula>
    </cfRule>
  </conditionalFormatting>
  <conditionalFormatting sqref="B47:C47">
    <cfRule type="expression" dxfId="217" priority="27">
      <formula>$AE$47&gt;1</formula>
    </cfRule>
  </conditionalFormatting>
  <conditionalFormatting sqref="B48:C48">
    <cfRule type="expression" dxfId="216" priority="26">
      <formula>$AE$48&gt;1</formula>
    </cfRule>
  </conditionalFormatting>
  <conditionalFormatting sqref="B49:C49">
    <cfRule type="expression" dxfId="215" priority="25">
      <formula>$AE$49&gt;1</formula>
    </cfRule>
  </conditionalFormatting>
  <conditionalFormatting sqref="B52:C52">
    <cfRule type="expression" dxfId="214" priority="19">
      <formula>$AE$52&gt;1</formula>
    </cfRule>
  </conditionalFormatting>
  <conditionalFormatting sqref="B53:C53">
    <cfRule type="expression" dxfId="213" priority="18">
      <formula>$AE$53&gt;1</formula>
    </cfRule>
  </conditionalFormatting>
  <conditionalFormatting sqref="B54:C54">
    <cfRule type="expression" dxfId="212" priority="17">
      <formula>$AE$54&gt;1</formula>
    </cfRule>
  </conditionalFormatting>
  <conditionalFormatting sqref="B55:C55">
    <cfRule type="expression" dxfId="211" priority="10">
      <formula>$AE$55&gt;1</formula>
    </cfRule>
  </conditionalFormatting>
  <conditionalFormatting sqref="B56:C56">
    <cfRule type="expression" dxfId="210" priority="16">
      <formula>$AE$56&gt;1</formula>
    </cfRule>
  </conditionalFormatting>
  <conditionalFormatting sqref="B57:C57">
    <cfRule type="expression" dxfId="209" priority="24">
      <formula>$AE$57&gt;1</formula>
    </cfRule>
  </conditionalFormatting>
  <conditionalFormatting sqref="B58:C58">
    <cfRule type="expression" dxfId="208" priority="23">
      <formula>$AE$58&gt;1</formula>
    </cfRule>
  </conditionalFormatting>
  <conditionalFormatting sqref="B59:C59">
    <cfRule type="expression" dxfId="207" priority="22">
      <formula>$AE$59&gt;1</formula>
    </cfRule>
  </conditionalFormatting>
  <conditionalFormatting sqref="B60:C60">
    <cfRule type="expression" dxfId="206" priority="21">
      <formula>$AE$60&gt;1</formula>
    </cfRule>
  </conditionalFormatting>
  <conditionalFormatting sqref="B61:C61 B73:C73">
    <cfRule type="expression" dxfId="205" priority="20">
      <formula>$AE$73&gt;1</formula>
    </cfRule>
  </conditionalFormatting>
  <conditionalFormatting sqref="B64:C64">
    <cfRule type="expression" dxfId="204" priority="5">
      <formula>$AE$64&gt;1</formula>
    </cfRule>
  </conditionalFormatting>
  <conditionalFormatting sqref="B65:C65">
    <cfRule type="expression" dxfId="203" priority="4">
      <formula>$AE$65&gt;1</formula>
    </cfRule>
  </conditionalFormatting>
  <conditionalFormatting sqref="B66:C66">
    <cfRule type="expression" dxfId="202" priority="3">
      <formula>$AE$66&gt;1</formula>
    </cfRule>
  </conditionalFormatting>
  <conditionalFormatting sqref="B67:C67">
    <cfRule type="expression" dxfId="201" priority="1">
      <formula>$AE$67&gt;1</formula>
    </cfRule>
  </conditionalFormatting>
  <conditionalFormatting sqref="B68:C68">
    <cfRule type="expression" dxfId="200" priority="2">
      <formula>$AE$68&gt;1</formula>
    </cfRule>
  </conditionalFormatting>
  <conditionalFormatting sqref="B69:C69">
    <cfRule type="expression" dxfId="199" priority="9">
      <formula>$AE$69&gt;1</formula>
    </cfRule>
  </conditionalFormatting>
  <conditionalFormatting sqref="B70:C70">
    <cfRule type="expression" dxfId="198" priority="8">
      <formula>$AE$70&gt;1</formula>
    </cfRule>
  </conditionalFormatting>
  <conditionalFormatting sqref="B71:C71">
    <cfRule type="expression" dxfId="197" priority="7">
      <formula>$AE$71&gt;1</formula>
    </cfRule>
  </conditionalFormatting>
  <conditionalFormatting sqref="B72:C72">
    <cfRule type="expression" dxfId="196" priority="6">
      <formula>$AE$72&gt;1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317500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69850</xdr:rowOff>
                  </from>
                  <to>
                    <xdr:col>1</xdr:col>
                    <xdr:colOff>298450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21</xdr:row>
                    <xdr:rowOff>69850</xdr:rowOff>
                  </from>
                  <to>
                    <xdr:col>1</xdr:col>
                    <xdr:colOff>279400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323850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298450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27</xdr:row>
                    <xdr:rowOff>69850</xdr:rowOff>
                  </from>
                  <to>
                    <xdr:col>1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69850</xdr:rowOff>
                  </from>
                  <to>
                    <xdr:col>1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69850</xdr:rowOff>
                  </from>
                  <to>
                    <xdr:col>1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41</xdr:row>
                    <xdr:rowOff>69850</xdr:rowOff>
                  </from>
                  <to>
                    <xdr:col>1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48</xdr:row>
                    <xdr:rowOff>69850</xdr:rowOff>
                  </from>
                  <to>
                    <xdr:col>1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55</xdr:row>
                    <xdr:rowOff>69850</xdr:rowOff>
                  </from>
                  <to>
                    <xdr:col>1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56</xdr:row>
                    <xdr:rowOff>69850</xdr:rowOff>
                  </from>
                  <to>
                    <xdr:col>1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323850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323850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69850</xdr:rowOff>
                  </from>
                  <to>
                    <xdr:col>2</xdr:col>
                    <xdr:colOff>323850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69850</xdr:rowOff>
                  </from>
                  <to>
                    <xdr:col>2</xdr:col>
                    <xdr:colOff>323850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323850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323850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69850</xdr:rowOff>
                  </from>
                  <to>
                    <xdr:col>2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69850</xdr:rowOff>
                  </from>
                  <to>
                    <xdr:col>2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69850</xdr:rowOff>
                  </from>
                  <to>
                    <xdr:col>2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69850</xdr:rowOff>
                  </from>
                  <to>
                    <xdr:col>2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69850</xdr:rowOff>
                  </from>
                  <to>
                    <xdr:col>2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69850</xdr:rowOff>
                  </from>
                  <to>
                    <xdr:col>2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69850</xdr:rowOff>
                  </from>
                  <to>
                    <xdr:col>2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323850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317500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323850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323850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323850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35</xdr:row>
                    <xdr:rowOff>69850</xdr:rowOff>
                  </from>
                  <to>
                    <xdr:col>1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69850</xdr:rowOff>
                  </from>
                  <to>
                    <xdr:col>2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69850</xdr:rowOff>
                  </from>
                  <to>
                    <xdr:col>1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69850</xdr:rowOff>
                  </from>
                  <to>
                    <xdr:col>2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63</xdr:row>
                    <xdr:rowOff>69850</xdr:rowOff>
                  </from>
                  <to>
                    <xdr:col>1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1</xdr:col>
                    <xdr:colOff>114300</xdr:colOff>
                    <xdr:row>69</xdr:row>
                    <xdr:rowOff>69850</xdr:rowOff>
                  </from>
                  <to>
                    <xdr:col>1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70</xdr:row>
                    <xdr:rowOff>69850</xdr:rowOff>
                  </from>
                  <to>
                    <xdr:col>1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63</xdr:row>
                    <xdr:rowOff>69850</xdr:rowOff>
                  </from>
                  <to>
                    <xdr:col>2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69</xdr:row>
                    <xdr:rowOff>69850</xdr:rowOff>
                  </from>
                  <to>
                    <xdr:col>2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70</xdr:row>
                    <xdr:rowOff>69850</xdr:rowOff>
                  </from>
                  <to>
                    <xdr:col>2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68EE-55B7-4FE8-A9D8-03C5AA3949A6}">
  <dimension ref="A5:AH89"/>
  <sheetViews>
    <sheetView showGridLines="0" topLeftCell="A73" zoomScale="115" zoomScaleNormal="115" workbookViewId="0">
      <selection activeCell="B21" sqref="B21"/>
    </sheetView>
  </sheetViews>
  <sheetFormatPr defaultColWidth="9.296875" defaultRowHeight="13"/>
  <cols>
    <col min="1" max="1" width="54.69921875" style="40" customWidth="1"/>
    <col min="2" max="3" width="6.796875" style="40" customWidth="1"/>
    <col min="4" max="4" width="44.796875" style="4" customWidth="1"/>
    <col min="5" max="5" width="9.296875" style="40"/>
    <col min="6" max="25" width="9.296875" style="40" customWidth="1"/>
    <col min="26" max="26" width="9.296875" style="40"/>
    <col min="27" max="28" width="9.296875" style="35"/>
    <col min="29" max="30" width="4.19921875" style="36" customWidth="1"/>
    <col min="31" max="31" width="3.296875" style="36" customWidth="1"/>
    <col min="32" max="33" width="9.296875" style="36"/>
    <col min="34" max="34" width="9.296875" style="37"/>
    <col min="35" max="16384" width="9.296875" style="40"/>
  </cols>
  <sheetData>
    <row r="5" spans="1:33" ht="13" customHeight="1">
      <c r="A5" s="48" t="s">
        <v>10</v>
      </c>
      <c r="B5" s="48"/>
      <c r="C5" s="48"/>
      <c r="D5" s="48"/>
    </row>
    <row r="6" spans="1:33" ht="13" customHeight="1">
      <c r="A6" s="49" t="s">
        <v>11</v>
      </c>
      <c r="B6" s="49"/>
      <c r="C6" s="49"/>
      <c r="D6" s="49"/>
    </row>
    <row r="7" spans="1:33">
      <c r="A7" s="50"/>
      <c r="B7" s="50"/>
      <c r="C7" s="50"/>
      <c r="D7" s="50"/>
    </row>
    <row r="8" spans="1:33" ht="13" customHeight="1" thickBot="1">
      <c r="A8" s="51" t="s">
        <v>12</v>
      </c>
      <c r="B8" s="51"/>
      <c r="C8" s="51"/>
      <c r="D8" s="51"/>
    </row>
    <row r="9" spans="1:33" ht="7" customHeight="1" thickTop="1">
      <c r="A9" s="13"/>
      <c r="B9" s="13"/>
      <c r="C9" s="13"/>
      <c r="D9" s="13"/>
    </row>
    <row r="10" spans="1:33" ht="32.5" customHeight="1">
      <c r="A10" s="52" t="s">
        <v>18</v>
      </c>
      <c r="B10" s="53"/>
      <c r="C10" s="53"/>
      <c r="D10" s="53"/>
    </row>
    <row r="11" spans="1:33">
      <c r="A11" s="3" t="s">
        <v>7</v>
      </c>
      <c r="B11" s="54"/>
      <c r="C11" s="55"/>
      <c r="D11" s="55"/>
    </row>
    <row r="12" spans="1:33">
      <c r="A12" s="12" t="s">
        <v>8</v>
      </c>
      <c r="B12" s="54" t="s">
        <v>62</v>
      </c>
      <c r="C12" s="55"/>
      <c r="D12" s="55"/>
    </row>
    <row r="13" spans="1:33">
      <c r="A13" s="12" t="s">
        <v>9</v>
      </c>
      <c r="B13" s="54" t="s">
        <v>63</v>
      </c>
      <c r="C13" s="55"/>
      <c r="D13" s="55"/>
    </row>
    <row r="14" spans="1:33" ht="22.5" customHeight="1" thickBot="1">
      <c r="A14" s="25" t="s">
        <v>19</v>
      </c>
    </row>
    <row r="15" spans="1:33" ht="13.5" thickBot="1">
      <c r="A15" s="7" t="s">
        <v>0</v>
      </c>
      <c r="B15" s="8" t="s">
        <v>1</v>
      </c>
      <c r="C15" s="8" t="s">
        <v>2</v>
      </c>
      <c r="D15" s="9" t="s">
        <v>3</v>
      </c>
    </row>
    <row r="16" spans="1:33" ht="25" customHeight="1">
      <c r="A16" s="34" t="s">
        <v>20</v>
      </c>
      <c r="B16" s="6"/>
      <c r="C16" s="6"/>
      <c r="D16" s="18"/>
      <c r="AA16" s="35" t="b">
        <v>0</v>
      </c>
      <c r="AB16" s="35" t="b">
        <v>0</v>
      </c>
      <c r="AC16" s="36">
        <f>IF(AA16="","",IF(AA16=TRUE,1,0))</f>
        <v>0</v>
      </c>
      <c r="AD16" s="36">
        <f>IF(AB16="","",IF(AB16=TRUE,1,0))</f>
        <v>0</v>
      </c>
      <c r="AE16" s="36">
        <f>SUM(AC16:AD16)</f>
        <v>0</v>
      </c>
      <c r="AF16" s="38">
        <f>IF(AE16=1,AC16,0)</f>
        <v>0</v>
      </c>
      <c r="AG16" s="38">
        <f>IF(AE16=1,AD16,0)</f>
        <v>0</v>
      </c>
    </row>
    <row r="17" spans="1:33" ht="25" customHeight="1">
      <c r="A17" s="34" t="s">
        <v>21</v>
      </c>
      <c r="B17" s="2"/>
      <c r="C17" s="2"/>
      <c r="D17" s="19"/>
      <c r="AA17" s="35" t="b">
        <v>0</v>
      </c>
      <c r="AB17" s="35" t="b">
        <v>0</v>
      </c>
      <c r="AC17" s="36">
        <f t="shared" ref="AC17:AD74" si="0">IF(AA17="","",IF(AA17=TRUE,1,0))</f>
        <v>0</v>
      </c>
      <c r="AD17" s="36">
        <f t="shared" si="0"/>
        <v>0</v>
      </c>
      <c r="AE17" s="36">
        <f t="shared" ref="AE17:AE61" si="1">SUM(AC17:AD17)</f>
        <v>0</v>
      </c>
      <c r="AF17" s="38">
        <f t="shared" ref="AF17:AF61" si="2">IF(AE17=1,AC17,0)</f>
        <v>0</v>
      </c>
      <c r="AG17" s="38">
        <f t="shared" ref="AG17:AG61" si="3">IF(AE17=1,AD17,0)</f>
        <v>0</v>
      </c>
    </row>
    <row r="18" spans="1:33" ht="25" customHeight="1">
      <c r="A18" s="34" t="s">
        <v>22</v>
      </c>
      <c r="B18" s="2"/>
      <c r="C18" s="2"/>
      <c r="D18" s="19"/>
      <c r="AA18" s="35" t="b">
        <v>0</v>
      </c>
      <c r="AB18" s="35" t="b">
        <v>0</v>
      </c>
      <c r="AC18" s="36">
        <f t="shared" si="0"/>
        <v>0</v>
      </c>
      <c r="AD18" s="36">
        <f t="shared" si="0"/>
        <v>0</v>
      </c>
      <c r="AE18" s="36">
        <f t="shared" si="1"/>
        <v>0</v>
      </c>
      <c r="AF18" s="38">
        <f t="shared" si="2"/>
        <v>0</v>
      </c>
      <c r="AG18" s="38">
        <f t="shared" si="3"/>
        <v>0</v>
      </c>
    </row>
    <row r="19" spans="1:33" ht="25" customHeight="1">
      <c r="A19" s="34" t="s">
        <v>23</v>
      </c>
      <c r="B19" s="2"/>
      <c r="C19" s="2"/>
      <c r="D19" s="23"/>
      <c r="AA19" s="35" t="b">
        <v>0</v>
      </c>
      <c r="AB19" s="35" t="b">
        <v>0</v>
      </c>
      <c r="AC19" s="36">
        <f t="shared" si="0"/>
        <v>0</v>
      </c>
      <c r="AD19" s="36">
        <f t="shared" si="0"/>
        <v>0</v>
      </c>
      <c r="AE19" s="36">
        <f t="shared" si="1"/>
        <v>0</v>
      </c>
      <c r="AF19" s="38">
        <f t="shared" si="2"/>
        <v>0</v>
      </c>
      <c r="AG19" s="38">
        <f t="shared" si="3"/>
        <v>0</v>
      </c>
    </row>
    <row r="20" spans="1:33" ht="25" customHeight="1">
      <c r="A20" s="34" t="s">
        <v>24</v>
      </c>
      <c r="B20" s="28"/>
      <c r="C20" s="28"/>
      <c r="D20" s="30"/>
      <c r="AA20" s="35" t="b">
        <v>0</v>
      </c>
      <c r="AB20" s="35" t="b">
        <v>0</v>
      </c>
      <c r="AC20" s="36">
        <f t="shared" si="0"/>
        <v>0</v>
      </c>
      <c r="AD20" s="36">
        <f t="shared" si="0"/>
        <v>0</v>
      </c>
      <c r="AE20" s="36">
        <f t="shared" si="1"/>
        <v>0</v>
      </c>
      <c r="AF20" s="38">
        <f t="shared" si="2"/>
        <v>0</v>
      </c>
      <c r="AG20" s="38">
        <f t="shared" si="3"/>
        <v>0</v>
      </c>
    </row>
    <row r="21" spans="1:33" ht="24" customHeight="1">
      <c r="A21" s="34" t="s">
        <v>25</v>
      </c>
      <c r="B21" s="6"/>
      <c r="C21" s="6"/>
      <c r="D21" s="20"/>
      <c r="AA21" s="35" t="b">
        <v>0</v>
      </c>
      <c r="AB21" s="35" t="b">
        <v>0</v>
      </c>
      <c r="AC21" s="36">
        <f t="shared" si="0"/>
        <v>0</v>
      </c>
      <c r="AD21" s="36">
        <f t="shared" si="0"/>
        <v>0</v>
      </c>
      <c r="AE21" s="36">
        <f t="shared" si="1"/>
        <v>0</v>
      </c>
      <c r="AF21" s="38">
        <f t="shared" si="2"/>
        <v>0</v>
      </c>
      <c r="AG21" s="38">
        <f t="shared" si="3"/>
        <v>0</v>
      </c>
    </row>
    <row r="22" spans="1:33" ht="21.65" customHeight="1">
      <c r="A22" s="26"/>
      <c r="B22" s="2"/>
      <c r="C22" s="2"/>
      <c r="D22" s="21"/>
      <c r="AA22" s="35" t="b">
        <v>0</v>
      </c>
      <c r="AB22" s="35" t="b">
        <v>0</v>
      </c>
      <c r="AC22" s="36">
        <f t="shared" si="0"/>
        <v>0</v>
      </c>
      <c r="AD22" s="36">
        <f t="shared" si="0"/>
        <v>0</v>
      </c>
      <c r="AE22" s="36">
        <f t="shared" si="1"/>
        <v>0</v>
      </c>
      <c r="AF22" s="38">
        <f t="shared" si="2"/>
        <v>0</v>
      </c>
      <c r="AG22" s="38">
        <f t="shared" si="3"/>
        <v>0</v>
      </c>
    </row>
    <row r="23" spans="1:33" ht="21.65" customHeight="1">
      <c r="A23" s="26"/>
      <c r="B23" s="2"/>
      <c r="C23" s="2"/>
      <c r="D23" s="21"/>
      <c r="AA23" s="35" t="b">
        <v>0</v>
      </c>
      <c r="AB23" s="35" t="b">
        <v>0</v>
      </c>
      <c r="AC23" s="36">
        <f t="shared" si="0"/>
        <v>0</v>
      </c>
      <c r="AD23" s="36">
        <f t="shared" si="0"/>
        <v>0</v>
      </c>
      <c r="AE23" s="36">
        <f t="shared" si="1"/>
        <v>0</v>
      </c>
      <c r="AF23" s="38">
        <f t="shared" si="2"/>
        <v>0</v>
      </c>
      <c r="AG23" s="38">
        <f t="shared" si="3"/>
        <v>0</v>
      </c>
    </row>
    <row r="24" spans="1:33" ht="21.65" customHeight="1">
      <c r="A24" s="26"/>
      <c r="B24" s="2"/>
      <c r="C24" s="2"/>
      <c r="D24" s="24"/>
      <c r="AA24" s="35" t="b">
        <v>0</v>
      </c>
      <c r="AB24" s="35" t="b">
        <v>0</v>
      </c>
      <c r="AC24" s="36">
        <f t="shared" si="0"/>
        <v>0</v>
      </c>
      <c r="AD24" s="36">
        <f t="shared" si="0"/>
        <v>0</v>
      </c>
      <c r="AE24" s="36">
        <f t="shared" si="1"/>
        <v>0</v>
      </c>
      <c r="AF24" s="38">
        <f t="shared" si="2"/>
        <v>0</v>
      </c>
      <c r="AG24" s="38">
        <f t="shared" si="3"/>
        <v>0</v>
      </c>
    </row>
    <row r="25" spans="1:33" ht="21.65" customHeight="1" thickBot="1">
      <c r="A25" s="32"/>
      <c r="B25" s="5"/>
      <c r="C25" s="5"/>
      <c r="D25" s="22"/>
      <c r="AA25" s="35" t="b">
        <v>0</v>
      </c>
      <c r="AB25" s="35" t="b">
        <v>0</v>
      </c>
      <c r="AC25" s="36">
        <f t="shared" si="0"/>
        <v>0</v>
      </c>
      <c r="AD25" s="36">
        <f t="shared" si="0"/>
        <v>0</v>
      </c>
      <c r="AE25" s="36">
        <f t="shared" si="1"/>
        <v>0</v>
      </c>
      <c r="AF25" s="38">
        <f t="shared" si="2"/>
        <v>0</v>
      </c>
      <c r="AG25" s="38">
        <f t="shared" si="3"/>
        <v>0</v>
      </c>
    </row>
    <row r="26" spans="1:33" ht="21.65" customHeight="1" thickBot="1">
      <c r="A26" s="27" t="s">
        <v>26</v>
      </c>
      <c r="B26" s="13">
        <f>AF26</f>
        <v>0</v>
      </c>
      <c r="C26" s="13">
        <f>AG26</f>
        <v>0</v>
      </c>
      <c r="AC26" s="36" t="str">
        <f t="shared" si="0"/>
        <v/>
      </c>
      <c r="AD26" s="36" t="str">
        <f t="shared" si="0"/>
        <v/>
      </c>
      <c r="AF26" s="39">
        <f>SUM(AF16:AF25)</f>
        <v>0</v>
      </c>
      <c r="AG26" s="39">
        <f>SUM(AG16:AG25)</f>
        <v>0</v>
      </c>
    </row>
    <row r="27" spans="1:33" ht="21.65" customHeight="1" thickBot="1">
      <c r="A27" s="7" t="s">
        <v>0</v>
      </c>
      <c r="B27" s="8" t="s">
        <v>1</v>
      </c>
      <c r="C27" s="10" t="s">
        <v>2</v>
      </c>
      <c r="D27" s="9" t="s">
        <v>3</v>
      </c>
      <c r="AC27" s="36" t="str">
        <f t="shared" si="0"/>
        <v/>
      </c>
      <c r="AD27" s="36" t="str">
        <f t="shared" si="0"/>
        <v/>
      </c>
      <c r="AF27" s="38"/>
      <c r="AG27" s="38"/>
    </row>
    <row r="28" spans="1:33" ht="24.75" customHeight="1">
      <c r="A28" s="34" t="s">
        <v>27</v>
      </c>
      <c r="B28" s="2"/>
      <c r="C28" s="2"/>
      <c r="D28" s="20"/>
      <c r="AA28" s="35" t="b">
        <v>0</v>
      </c>
      <c r="AB28" s="35" t="b">
        <v>0</v>
      </c>
      <c r="AC28" s="36">
        <f t="shared" si="0"/>
        <v>0</v>
      </c>
      <c r="AD28" s="36">
        <f t="shared" si="0"/>
        <v>0</v>
      </c>
      <c r="AE28" s="36">
        <f t="shared" si="1"/>
        <v>0</v>
      </c>
      <c r="AF28" s="38">
        <f t="shared" si="2"/>
        <v>0</v>
      </c>
      <c r="AG28" s="38">
        <f t="shared" si="3"/>
        <v>0</v>
      </c>
    </row>
    <row r="29" spans="1:33" ht="25.5" customHeight="1">
      <c r="A29" s="34" t="s">
        <v>28</v>
      </c>
      <c r="B29" s="2"/>
      <c r="C29" s="2"/>
      <c r="D29" s="21"/>
      <c r="AA29" s="35" t="b">
        <v>0</v>
      </c>
      <c r="AB29" s="35" t="b">
        <v>0</v>
      </c>
      <c r="AC29" s="36">
        <f t="shared" si="0"/>
        <v>0</v>
      </c>
      <c r="AD29" s="36">
        <f t="shared" si="0"/>
        <v>0</v>
      </c>
      <c r="AE29" s="36">
        <f t="shared" si="1"/>
        <v>0</v>
      </c>
      <c r="AF29" s="38">
        <f t="shared" si="2"/>
        <v>0</v>
      </c>
      <c r="AG29" s="38">
        <f t="shared" si="3"/>
        <v>0</v>
      </c>
    </row>
    <row r="30" spans="1:33" ht="25.5" customHeight="1">
      <c r="A30" s="34" t="s">
        <v>29</v>
      </c>
      <c r="B30" s="2"/>
      <c r="C30" s="2"/>
      <c r="D30" s="21"/>
      <c r="AA30" s="35" t="b">
        <v>0</v>
      </c>
      <c r="AB30" s="35" t="b">
        <v>0</v>
      </c>
      <c r="AC30" s="36">
        <f t="shared" si="0"/>
        <v>0</v>
      </c>
      <c r="AD30" s="36">
        <f t="shared" si="0"/>
        <v>0</v>
      </c>
      <c r="AE30" s="36">
        <f t="shared" si="1"/>
        <v>0</v>
      </c>
      <c r="AF30" s="38">
        <f t="shared" si="2"/>
        <v>0</v>
      </c>
      <c r="AG30" s="38">
        <f t="shared" si="3"/>
        <v>0</v>
      </c>
    </row>
    <row r="31" spans="1:33" ht="27" customHeight="1">
      <c r="A31" s="34" t="s">
        <v>30</v>
      </c>
      <c r="B31" s="2"/>
      <c r="C31" s="2"/>
      <c r="D31" s="24"/>
      <c r="AA31" s="35" t="b">
        <v>0</v>
      </c>
      <c r="AB31" s="35" t="b">
        <v>0</v>
      </c>
      <c r="AC31" s="36">
        <f t="shared" si="0"/>
        <v>0</v>
      </c>
      <c r="AD31" s="36">
        <f t="shared" si="0"/>
        <v>0</v>
      </c>
      <c r="AE31" s="36">
        <f t="shared" si="1"/>
        <v>0</v>
      </c>
      <c r="AF31" s="38">
        <f t="shared" si="2"/>
        <v>0</v>
      </c>
      <c r="AG31" s="38">
        <f t="shared" si="3"/>
        <v>0</v>
      </c>
    </row>
    <row r="32" spans="1:33" ht="24.75" customHeight="1">
      <c r="A32" s="34" t="s">
        <v>31</v>
      </c>
      <c r="B32" s="28"/>
      <c r="C32" s="28"/>
      <c r="D32" s="29"/>
      <c r="AA32" s="35" t="b">
        <v>0</v>
      </c>
      <c r="AB32" s="35" t="b">
        <v>0</v>
      </c>
      <c r="AC32" s="36">
        <f t="shared" si="0"/>
        <v>0</v>
      </c>
      <c r="AD32" s="36">
        <f t="shared" si="0"/>
        <v>0</v>
      </c>
      <c r="AE32" s="36">
        <f t="shared" si="1"/>
        <v>0</v>
      </c>
      <c r="AF32" s="38">
        <f t="shared" si="2"/>
        <v>0</v>
      </c>
      <c r="AG32" s="38">
        <f t="shared" si="3"/>
        <v>0</v>
      </c>
    </row>
    <row r="33" spans="1:33" ht="27" customHeight="1">
      <c r="A33" s="34" t="s">
        <v>32</v>
      </c>
      <c r="B33" s="6"/>
      <c r="C33" s="6"/>
      <c r="D33" s="20"/>
      <c r="AA33" s="35" t="b">
        <v>0</v>
      </c>
      <c r="AB33" s="35" t="b">
        <v>0</v>
      </c>
      <c r="AC33" s="36">
        <f t="shared" si="0"/>
        <v>0</v>
      </c>
      <c r="AD33" s="36">
        <f t="shared" si="0"/>
        <v>0</v>
      </c>
      <c r="AE33" s="36">
        <f t="shared" si="1"/>
        <v>0</v>
      </c>
      <c r="AF33" s="38">
        <f t="shared" si="2"/>
        <v>0</v>
      </c>
      <c r="AG33" s="38">
        <f t="shared" si="3"/>
        <v>0</v>
      </c>
    </row>
    <row r="34" spans="1:33" ht="26.25" customHeight="1">
      <c r="A34" s="34" t="s">
        <v>33</v>
      </c>
      <c r="B34" s="2"/>
      <c r="C34" s="2"/>
      <c r="D34" s="21"/>
      <c r="AA34" s="35" t="b">
        <v>0</v>
      </c>
      <c r="AB34" s="35" t="b">
        <v>0</v>
      </c>
      <c r="AC34" s="36">
        <f t="shared" si="0"/>
        <v>0</v>
      </c>
      <c r="AD34" s="36">
        <f t="shared" si="0"/>
        <v>0</v>
      </c>
      <c r="AE34" s="36">
        <f t="shared" si="1"/>
        <v>0</v>
      </c>
      <c r="AF34" s="38">
        <f t="shared" si="2"/>
        <v>0</v>
      </c>
      <c r="AG34" s="38">
        <f t="shared" si="3"/>
        <v>0</v>
      </c>
    </row>
    <row r="35" spans="1:33" ht="21.65" customHeight="1">
      <c r="A35" s="26"/>
      <c r="B35" s="2"/>
      <c r="C35" s="2"/>
      <c r="D35" s="21"/>
      <c r="AA35" s="35" t="b">
        <v>0</v>
      </c>
      <c r="AB35" s="35" t="b">
        <v>0</v>
      </c>
      <c r="AC35" s="36">
        <f t="shared" si="0"/>
        <v>0</v>
      </c>
      <c r="AD35" s="36">
        <f t="shared" si="0"/>
        <v>0</v>
      </c>
      <c r="AE35" s="36">
        <f t="shared" si="1"/>
        <v>0</v>
      </c>
      <c r="AF35" s="38">
        <f t="shared" si="2"/>
        <v>0</v>
      </c>
      <c r="AG35" s="38">
        <f t="shared" si="3"/>
        <v>0</v>
      </c>
    </row>
    <row r="36" spans="1:33" ht="21.65" customHeight="1">
      <c r="A36" s="26"/>
      <c r="B36" s="2"/>
      <c r="C36" s="2"/>
      <c r="D36" s="24"/>
      <c r="AA36" s="35" t="b">
        <v>0</v>
      </c>
      <c r="AB36" s="35" t="b">
        <v>0</v>
      </c>
      <c r="AC36" s="36">
        <f t="shared" si="0"/>
        <v>0</v>
      </c>
      <c r="AD36" s="36">
        <f t="shared" si="0"/>
        <v>0</v>
      </c>
      <c r="AE36" s="36">
        <f t="shared" si="1"/>
        <v>0</v>
      </c>
      <c r="AF36" s="38">
        <f t="shared" si="2"/>
        <v>0</v>
      </c>
      <c r="AG36" s="38">
        <f t="shared" si="3"/>
        <v>0</v>
      </c>
    </row>
    <row r="37" spans="1:33" ht="21.65" customHeight="1" thickBot="1">
      <c r="A37" s="32"/>
      <c r="B37" s="5"/>
      <c r="C37" s="5"/>
      <c r="D37" s="22"/>
      <c r="AA37" s="35" t="b">
        <v>0</v>
      </c>
      <c r="AB37" s="35" t="b">
        <v>0</v>
      </c>
      <c r="AC37" s="36">
        <f t="shared" si="0"/>
        <v>0</v>
      </c>
      <c r="AD37" s="36">
        <f t="shared" si="0"/>
        <v>0</v>
      </c>
      <c r="AE37" s="36">
        <f t="shared" si="1"/>
        <v>0</v>
      </c>
      <c r="AF37" s="38">
        <f t="shared" si="2"/>
        <v>0</v>
      </c>
      <c r="AG37" s="38">
        <f t="shared" si="3"/>
        <v>0</v>
      </c>
    </row>
    <row r="38" spans="1:33" ht="21.65" customHeight="1" thickBot="1">
      <c r="A38" s="31" t="s">
        <v>34</v>
      </c>
      <c r="B38" s="13">
        <f>AF38</f>
        <v>0</v>
      </c>
      <c r="C38" s="13">
        <f>AG38</f>
        <v>0</v>
      </c>
      <c r="AC38" s="36" t="str">
        <f t="shared" si="0"/>
        <v/>
      </c>
      <c r="AD38" s="36" t="str">
        <f t="shared" si="0"/>
        <v/>
      </c>
      <c r="AF38" s="39">
        <f>SUM(AF28:AF37)</f>
        <v>0</v>
      </c>
      <c r="AG38" s="39">
        <f>SUM(AG28:AG37)</f>
        <v>0</v>
      </c>
    </row>
    <row r="39" spans="1:33" ht="21.65" customHeight="1" thickBot="1">
      <c r="A39" s="7" t="s">
        <v>0</v>
      </c>
      <c r="B39" s="8" t="s">
        <v>1</v>
      </c>
      <c r="C39" s="10" t="s">
        <v>2</v>
      </c>
      <c r="D39" s="9" t="s">
        <v>3</v>
      </c>
      <c r="AC39" s="36" t="str">
        <f t="shared" si="0"/>
        <v/>
      </c>
      <c r="AD39" s="36" t="str">
        <f t="shared" si="0"/>
        <v/>
      </c>
      <c r="AF39" s="38"/>
      <c r="AG39" s="38"/>
    </row>
    <row r="40" spans="1:33" ht="24" customHeight="1">
      <c r="A40" s="34" t="s">
        <v>35</v>
      </c>
      <c r="B40" s="2"/>
      <c r="C40" s="2"/>
      <c r="D40" s="20"/>
      <c r="AA40" s="35" t="b">
        <v>0</v>
      </c>
      <c r="AB40" s="35" t="b">
        <v>0</v>
      </c>
      <c r="AC40" s="36">
        <f t="shared" si="0"/>
        <v>0</v>
      </c>
      <c r="AD40" s="36">
        <f t="shared" si="0"/>
        <v>0</v>
      </c>
      <c r="AE40" s="36">
        <f t="shared" si="1"/>
        <v>0</v>
      </c>
      <c r="AF40" s="38">
        <f t="shared" si="2"/>
        <v>0</v>
      </c>
      <c r="AG40" s="38">
        <f t="shared" si="3"/>
        <v>0</v>
      </c>
    </row>
    <row r="41" spans="1:33" ht="24" customHeight="1">
      <c r="A41" s="34" t="s">
        <v>36</v>
      </c>
      <c r="B41" s="2"/>
      <c r="C41" s="2"/>
      <c r="D41" s="21"/>
      <c r="AA41" s="35" t="b">
        <v>0</v>
      </c>
      <c r="AB41" s="35" t="b">
        <v>0</v>
      </c>
      <c r="AC41" s="36">
        <f t="shared" si="0"/>
        <v>0</v>
      </c>
      <c r="AD41" s="36">
        <f t="shared" si="0"/>
        <v>0</v>
      </c>
      <c r="AE41" s="36">
        <f t="shared" si="1"/>
        <v>0</v>
      </c>
      <c r="AF41" s="38">
        <f t="shared" si="2"/>
        <v>0</v>
      </c>
      <c r="AG41" s="38">
        <f t="shared" si="3"/>
        <v>0</v>
      </c>
    </row>
    <row r="42" spans="1:33" ht="23.25" customHeight="1">
      <c r="A42" s="34" t="s">
        <v>37</v>
      </c>
      <c r="B42" s="2"/>
      <c r="C42" s="2"/>
      <c r="D42" s="21"/>
      <c r="AA42" s="35" t="b">
        <v>0</v>
      </c>
      <c r="AB42" s="35" t="b">
        <v>0</v>
      </c>
      <c r="AC42" s="36">
        <f t="shared" si="0"/>
        <v>0</v>
      </c>
      <c r="AD42" s="36">
        <f t="shared" si="0"/>
        <v>0</v>
      </c>
      <c r="AE42" s="36">
        <f t="shared" si="1"/>
        <v>0</v>
      </c>
      <c r="AF42" s="38">
        <f t="shared" si="2"/>
        <v>0</v>
      </c>
      <c r="AG42" s="38">
        <f t="shared" si="3"/>
        <v>0</v>
      </c>
    </row>
    <row r="43" spans="1:33" ht="24.75" customHeight="1">
      <c r="A43" s="34" t="s">
        <v>38</v>
      </c>
      <c r="B43" s="2"/>
      <c r="C43" s="2"/>
      <c r="D43" s="24"/>
      <c r="AA43" s="35" t="b">
        <v>0</v>
      </c>
      <c r="AB43" s="35" t="b">
        <v>0</v>
      </c>
      <c r="AC43" s="36">
        <f t="shared" si="0"/>
        <v>0</v>
      </c>
      <c r="AD43" s="36">
        <f t="shared" si="0"/>
        <v>0</v>
      </c>
      <c r="AE43" s="36">
        <f t="shared" si="1"/>
        <v>0</v>
      </c>
      <c r="AF43" s="38">
        <f t="shared" si="2"/>
        <v>0</v>
      </c>
      <c r="AG43" s="38">
        <f t="shared" si="3"/>
        <v>0</v>
      </c>
    </row>
    <row r="44" spans="1:33" ht="23.25" customHeight="1">
      <c r="A44" s="34" t="s">
        <v>39</v>
      </c>
      <c r="B44" s="28"/>
      <c r="C44" s="28"/>
      <c r="D44" s="29" t="s">
        <v>56</v>
      </c>
      <c r="AA44" s="35" t="b">
        <v>0</v>
      </c>
      <c r="AB44" s="35" t="b">
        <v>0</v>
      </c>
      <c r="AC44" s="36">
        <f t="shared" si="0"/>
        <v>0</v>
      </c>
      <c r="AD44" s="36">
        <f t="shared" si="0"/>
        <v>0</v>
      </c>
      <c r="AE44" s="36">
        <f t="shared" si="1"/>
        <v>0</v>
      </c>
      <c r="AF44" s="38">
        <f t="shared" si="2"/>
        <v>0</v>
      </c>
      <c r="AG44" s="38">
        <f t="shared" si="3"/>
        <v>0</v>
      </c>
    </row>
    <row r="45" spans="1:33" ht="24" customHeight="1">
      <c r="A45" s="34" t="s">
        <v>40</v>
      </c>
      <c r="B45" s="6"/>
      <c r="C45" s="6"/>
      <c r="D45" s="20"/>
      <c r="AA45" s="35" t="b">
        <v>0</v>
      </c>
      <c r="AB45" s="35" t="b">
        <v>0</v>
      </c>
      <c r="AC45" s="36">
        <f t="shared" si="0"/>
        <v>0</v>
      </c>
      <c r="AD45" s="36">
        <f t="shared" si="0"/>
        <v>0</v>
      </c>
      <c r="AE45" s="36">
        <f t="shared" si="1"/>
        <v>0</v>
      </c>
      <c r="AF45" s="38">
        <f t="shared" si="2"/>
        <v>0</v>
      </c>
      <c r="AG45" s="38">
        <f t="shared" si="3"/>
        <v>0</v>
      </c>
    </row>
    <row r="46" spans="1:33" ht="24" customHeight="1">
      <c r="A46" s="34" t="s">
        <v>41</v>
      </c>
      <c r="B46" s="2"/>
      <c r="C46" s="2"/>
      <c r="D46" s="21"/>
      <c r="AA46" s="35" t="b">
        <v>0</v>
      </c>
      <c r="AB46" s="35" t="b">
        <v>0</v>
      </c>
      <c r="AC46" s="36">
        <f t="shared" si="0"/>
        <v>0</v>
      </c>
      <c r="AD46" s="36">
        <f t="shared" si="0"/>
        <v>0</v>
      </c>
      <c r="AE46" s="36">
        <f t="shared" si="1"/>
        <v>0</v>
      </c>
      <c r="AF46" s="38">
        <f t="shared" si="2"/>
        <v>0</v>
      </c>
      <c r="AG46" s="38">
        <f t="shared" si="3"/>
        <v>0</v>
      </c>
    </row>
    <row r="47" spans="1:33" ht="21.65" customHeight="1">
      <c r="A47" s="26"/>
      <c r="B47" s="2"/>
      <c r="C47" s="2"/>
      <c r="D47" s="21"/>
      <c r="AA47" s="35" t="b">
        <v>0</v>
      </c>
      <c r="AB47" s="35" t="b">
        <v>0</v>
      </c>
      <c r="AC47" s="36">
        <f t="shared" si="0"/>
        <v>0</v>
      </c>
      <c r="AD47" s="36">
        <f t="shared" si="0"/>
        <v>0</v>
      </c>
      <c r="AE47" s="36">
        <f t="shared" si="1"/>
        <v>0</v>
      </c>
      <c r="AF47" s="38">
        <f t="shared" si="2"/>
        <v>0</v>
      </c>
      <c r="AG47" s="38">
        <f t="shared" si="3"/>
        <v>0</v>
      </c>
    </row>
    <row r="48" spans="1:33" ht="21.65" customHeight="1">
      <c r="A48" s="26"/>
      <c r="B48" s="2"/>
      <c r="C48" s="2"/>
      <c r="D48" s="21"/>
      <c r="AA48" s="35" t="b">
        <v>0</v>
      </c>
      <c r="AB48" s="35" t="b">
        <v>0</v>
      </c>
      <c r="AC48" s="36">
        <f t="shared" si="0"/>
        <v>0</v>
      </c>
      <c r="AD48" s="36">
        <f t="shared" si="0"/>
        <v>0</v>
      </c>
      <c r="AE48" s="36">
        <f t="shared" si="1"/>
        <v>0</v>
      </c>
      <c r="AF48" s="38">
        <f t="shared" si="2"/>
        <v>0</v>
      </c>
      <c r="AG48" s="38">
        <f t="shared" si="3"/>
        <v>0</v>
      </c>
    </row>
    <row r="49" spans="1:33" ht="21.65" customHeight="1" thickBot="1">
      <c r="A49" s="32"/>
      <c r="B49" s="5"/>
      <c r="C49" s="5"/>
      <c r="D49" s="22"/>
      <c r="AA49" s="35" t="b">
        <v>0</v>
      </c>
      <c r="AB49" s="35" t="b">
        <v>0</v>
      </c>
      <c r="AC49" s="36">
        <f t="shared" si="0"/>
        <v>0</v>
      </c>
      <c r="AD49" s="36">
        <f t="shared" si="0"/>
        <v>0</v>
      </c>
      <c r="AE49" s="36">
        <f t="shared" si="1"/>
        <v>0</v>
      </c>
      <c r="AF49" s="38">
        <f t="shared" si="2"/>
        <v>0</v>
      </c>
      <c r="AG49" s="38">
        <f t="shared" si="3"/>
        <v>0</v>
      </c>
    </row>
    <row r="50" spans="1:33" ht="21.65" customHeight="1" thickBot="1">
      <c r="A50" s="27" t="s">
        <v>42</v>
      </c>
      <c r="B50" s="13">
        <f>AF50</f>
        <v>0</v>
      </c>
      <c r="C50" s="13">
        <f>AG50</f>
        <v>0</v>
      </c>
      <c r="AC50" s="36" t="str">
        <f t="shared" si="0"/>
        <v/>
      </c>
      <c r="AD50" s="36" t="str">
        <f t="shared" si="0"/>
        <v/>
      </c>
      <c r="AF50" s="39">
        <f>SUM(AF40:AF49)</f>
        <v>0</v>
      </c>
      <c r="AG50" s="39">
        <f>SUM(AG40:AG49)</f>
        <v>0</v>
      </c>
    </row>
    <row r="51" spans="1:33" ht="21.65" customHeight="1" thickBot="1">
      <c r="A51" s="33" t="s">
        <v>15</v>
      </c>
      <c r="B51" s="8" t="s">
        <v>1</v>
      </c>
      <c r="C51" s="10" t="s">
        <v>2</v>
      </c>
      <c r="D51" s="9" t="s">
        <v>3</v>
      </c>
      <c r="AC51" s="36" t="str">
        <f t="shared" si="0"/>
        <v/>
      </c>
      <c r="AD51" s="36" t="str">
        <f t="shared" si="0"/>
        <v/>
      </c>
      <c r="AF51" s="38"/>
      <c r="AG51" s="38"/>
    </row>
    <row r="52" spans="1:33" ht="23.25" customHeight="1">
      <c r="A52" s="34" t="s">
        <v>43</v>
      </c>
      <c r="B52" s="6"/>
      <c r="C52" s="6"/>
      <c r="D52" s="20"/>
      <c r="AA52" s="35" t="b">
        <v>0</v>
      </c>
      <c r="AB52" s="35" t="b">
        <v>0</v>
      </c>
      <c r="AC52" s="36">
        <f t="shared" si="0"/>
        <v>0</v>
      </c>
      <c r="AD52" s="36">
        <f t="shared" si="0"/>
        <v>0</v>
      </c>
      <c r="AE52" s="36">
        <f t="shared" si="1"/>
        <v>0</v>
      </c>
      <c r="AF52" s="38">
        <f t="shared" si="2"/>
        <v>0</v>
      </c>
      <c r="AG52" s="38">
        <f t="shared" si="3"/>
        <v>0</v>
      </c>
    </row>
    <row r="53" spans="1:33" ht="21.65" customHeight="1">
      <c r="A53" s="34" t="s">
        <v>44</v>
      </c>
      <c r="B53" s="2"/>
      <c r="C53" s="2"/>
      <c r="D53" s="21"/>
      <c r="AA53" s="35" t="b">
        <v>0</v>
      </c>
      <c r="AB53" s="35" t="b">
        <v>0</v>
      </c>
      <c r="AC53" s="36">
        <f t="shared" si="0"/>
        <v>0</v>
      </c>
      <c r="AD53" s="36">
        <f t="shared" si="0"/>
        <v>0</v>
      </c>
      <c r="AE53" s="36">
        <f t="shared" si="1"/>
        <v>0</v>
      </c>
      <c r="AF53" s="38">
        <f t="shared" si="2"/>
        <v>0</v>
      </c>
      <c r="AG53" s="38">
        <f t="shared" si="3"/>
        <v>0</v>
      </c>
    </row>
    <row r="54" spans="1:33" ht="21.65" customHeight="1">
      <c r="A54" s="34" t="s">
        <v>45</v>
      </c>
      <c r="B54" s="2"/>
      <c r="C54" s="2"/>
      <c r="D54" s="21"/>
      <c r="AA54" s="35" t="b">
        <v>0</v>
      </c>
      <c r="AB54" s="35" t="b">
        <v>0</v>
      </c>
      <c r="AC54" s="36">
        <f t="shared" si="0"/>
        <v>0</v>
      </c>
      <c r="AD54" s="36">
        <f t="shared" si="0"/>
        <v>0</v>
      </c>
      <c r="AE54" s="36">
        <f t="shared" si="1"/>
        <v>0</v>
      </c>
      <c r="AF54" s="38">
        <f t="shared" si="2"/>
        <v>0</v>
      </c>
      <c r="AG54" s="38">
        <f t="shared" si="3"/>
        <v>0</v>
      </c>
    </row>
    <row r="55" spans="1:33" ht="24.75" customHeight="1">
      <c r="A55" s="34" t="s">
        <v>46</v>
      </c>
      <c r="B55" s="2"/>
      <c r="C55" s="2"/>
      <c r="D55" s="24"/>
      <c r="AA55" s="35" t="b">
        <v>0</v>
      </c>
      <c r="AB55" s="35" t="b">
        <v>0</v>
      </c>
      <c r="AC55" s="36">
        <f t="shared" si="0"/>
        <v>0</v>
      </c>
      <c r="AD55" s="36">
        <f t="shared" si="0"/>
        <v>0</v>
      </c>
      <c r="AE55" s="36">
        <f t="shared" si="1"/>
        <v>0</v>
      </c>
      <c r="AF55" s="38">
        <f t="shared" si="2"/>
        <v>0</v>
      </c>
      <c r="AG55" s="38">
        <f t="shared" si="3"/>
        <v>0</v>
      </c>
    </row>
    <row r="56" spans="1:33" ht="22.5" customHeight="1">
      <c r="A56" s="34" t="s">
        <v>47</v>
      </c>
      <c r="B56" s="28"/>
      <c r="C56" s="28"/>
      <c r="D56" s="29"/>
      <c r="AA56" s="35" t="b">
        <v>0</v>
      </c>
      <c r="AB56" s="35" t="b">
        <v>0</v>
      </c>
      <c r="AC56" s="36">
        <f t="shared" si="0"/>
        <v>0</v>
      </c>
      <c r="AD56" s="36">
        <f t="shared" si="0"/>
        <v>0</v>
      </c>
      <c r="AE56" s="36">
        <f t="shared" si="1"/>
        <v>0</v>
      </c>
      <c r="AF56" s="38">
        <f t="shared" si="2"/>
        <v>0</v>
      </c>
      <c r="AG56" s="38">
        <f t="shared" si="3"/>
        <v>0</v>
      </c>
    </row>
    <row r="57" spans="1:33" ht="23.25" customHeight="1">
      <c r="A57" s="34" t="s">
        <v>48</v>
      </c>
      <c r="B57" s="6"/>
      <c r="C57" s="6"/>
      <c r="D57" s="20"/>
      <c r="AA57" s="35" t="b">
        <v>0</v>
      </c>
      <c r="AB57" s="35" t="b">
        <v>0</v>
      </c>
      <c r="AC57" s="36">
        <f t="shared" si="0"/>
        <v>0</v>
      </c>
      <c r="AD57" s="36">
        <f t="shared" si="0"/>
        <v>0</v>
      </c>
      <c r="AE57" s="36">
        <f t="shared" si="1"/>
        <v>0</v>
      </c>
      <c r="AF57" s="38">
        <f t="shared" si="2"/>
        <v>0</v>
      </c>
      <c r="AG57" s="38">
        <f t="shared" si="3"/>
        <v>0</v>
      </c>
    </row>
    <row r="58" spans="1:33" ht="21.65" customHeight="1">
      <c r="A58" s="26"/>
      <c r="B58" s="2"/>
      <c r="C58" s="2"/>
      <c r="D58" s="21"/>
      <c r="AA58" s="35" t="b">
        <v>0</v>
      </c>
      <c r="AB58" s="35" t="b">
        <v>0</v>
      </c>
      <c r="AC58" s="36">
        <f t="shared" si="0"/>
        <v>0</v>
      </c>
      <c r="AD58" s="36">
        <f t="shared" si="0"/>
        <v>0</v>
      </c>
      <c r="AE58" s="36">
        <f t="shared" si="1"/>
        <v>0</v>
      </c>
      <c r="AF58" s="38">
        <f t="shared" si="2"/>
        <v>0</v>
      </c>
      <c r="AG58" s="38">
        <f t="shared" si="3"/>
        <v>0</v>
      </c>
    </row>
    <row r="59" spans="1:33" ht="21.65" customHeight="1">
      <c r="A59" s="26"/>
      <c r="B59" s="2"/>
      <c r="C59" s="2"/>
      <c r="D59" s="21"/>
      <c r="AA59" s="35" t="b">
        <v>0</v>
      </c>
      <c r="AB59" s="35" t="b">
        <v>0</v>
      </c>
      <c r="AC59" s="36">
        <f t="shared" si="0"/>
        <v>0</v>
      </c>
      <c r="AD59" s="36">
        <f t="shared" si="0"/>
        <v>0</v>
      </c>
      <c r="AE59" s="36">
        <f t="shared" si="1"/>
        <v>0</v>
      </c>
      <c r="AF59" s="38">
        <f t="shared" si="2"/>
        <v>0</v>
      </c>
      <c r="AG59" s="38">
        <f t="shared" si="3"/>
        <v>0</v>
      </c>
    </row>
    <row r="60" spans="1:33" ht="21.65" customHeight="1">
      <c r="A60" s="26"/>
      <c r="B60" s="2"/>
      <c r="C60" s="2"/>
      <c r="D60" s="21"/>
      <c r="AA60" s="35" t="b">
        <v>0</v>
      </c>
      <c r="AB60" s="35" t="b">
        <v>0</v>
      </c>
      <c r="AC60" s="36">
        <f t="shared" si="0"/>
        <v>0</v>
      </c>
      <c r="AD60" s="36">
        <f t="shared" si="0"/>
        <v>0</v>
      </c>
      <c r="AE60" s="36">
        <f t="shared" si="1"/>
        <v>0</v>
      </c>
      <c r="AF60" s="38">
        <f t="shared" si="2"/>
        <v>0</v>
      </c>
      <c r="AG60" s="38">
        <f t="shared" si="3"/>
        <v>0</v>
      </c>
    </row>
    <row r="61" spans="1:33" ht="21.65" customHeight="1" thickBot="1">
      <c r="A61" s="32"/>
      <c r="B61" s="5"/>
      <c r="C61" s="5"/>
      <c r="D61" s="22"/>
      <c r="AA61" s="35" t="b">
        <v>0</v>
      </c>
      <c r="AB61" s="35" t="b">
        <v>0</v>
      </c>
      <c r="AC61" s="36">
        <f t="shared" si="0"/>
        <v>0</v>
      </c>
      <c r="AD61" s="36">
        <f t="shared" si="0"/>
        <v>0</v>
      </c>
      <c r="AE61" s="36">
        <f t="shared" si="1"/>
        <v>0</v>
      </c>
      <c r="AF61" s="38">
        <f t="shared" si="2"/>
        <v>0</v>
      </c>
      <c r="AG61" s="38">
        <f t="shared" si="3"/>
        <v>0</v>
      </c>
    </row>
    <row r="62" spans="1:33" ht="21.65" customHeight="1" thickBot="1">
      <c r="A62" s="27" t="s">
        <v>49</v>
      </c>
      <c r="B62" s="13">
        <f>AF62</f>
        <v>0</v>
      </c>
      <c r="C62" s="13">
        <f>AG62</f>
        <v>0</v>
      </c>
      <c r="AC62" s="36" t="str">
        <f t="shared" si="0"/>
        <v/>
      </c>
      <c r="AD62" s="36" t="str">
        <f t="shared" si="0"/>
        <v/>
      </c>
      <c r="AF62" s="39">
        <f>SUM(AF52:AF61)</f>
        <v>0</v>
      </c>
      <c r="AG62" s="39">
        <f>SUM(AG52:AG61)</f>
        <v>0</v>
      </c>
    </row>
    <row r="63" spans="1:33" ht="21.65" customHeight="1" thickBot="1">
      <c r="A63" s="33" t="s">
        <v>15</v>
      </c>
      <c r="B63" s="8" t="s">
        <v>1</v>
      </c>
      <c r="C63" s="10" t="s">
        <v>2</v>
      </c>
      <c r="D63" s="9" t="s">
        <v>3</v>
      </c>
      <c r="AC63" s="36" t="str">
        <f t="shared" si="0"/>
        <v/>
      </c>
      <c r="AD63" s="36" t="str">
        <f t="shared" si="0"/>
        <v/>
      </c>
      <c r="AF63" s="38"/>
      <c r="AG63" s="38"/>
    </row>
    <row r="64" spans="1:33" ht="22.5" customHeight="1">
      <c r="A64" s="34" t="s">
        <v>50</v>
      </c>
      <c r="B64" s="6"/>
      <c r="C64" s="6"/>
      <c r="D64" s="20"/>
      <c r="AA64" s="35" t="b">
        <v>0</v>
      </c>
      <c r="AB64" s="35" t="b">
        <v>0</v>
      </c>
      <c r="AC64" s="36">
        <f t="shared" si="0"/>
        <v>0</v>
      </c>
      <c r="AD64" s="36">
        <f t="shared" si="0"/>
        <v>0</v>
      </c>
      <c r="AE64" s="36">
        <f t="shared" ref="AE64:AE73" si="4">SUM(AC64:AD64)</f>
        <v>0</v>
      </c>
      <c r="AF64" s="38">
        <f t="shared" ref="AF64:AF73" si="5">IF(AE64=1,AC64,0)</f>
        <v>0</v>
      </c>
      <c r="AG64" s="38">
        <f t="shared" ref="AG64:AG73" si="6">IF(AE64=1,AD64,0)</f>
        <v>0</v>
      </c>
    </row>
    <row r="65" spans="1:33" ht="22.5" customHeight="1">
      <c r="A65" s="34" t="s">
        <v>51</v>
      </c>
      <c r="B65" s="2"/>
      <c r="C65" s="2"/>
      <c r="D65" s="21"/>
      <c r="AA65" s="35" t="b">
        <v>0</v>
      </c>
      <c r="AB65" s="35" t="b">
        <v>0</v>
      </c>
      <c r="AC65" s="36">
        <f t="shared" si="0"/>
        <v>0</v>
      </c>
      <c r="AD65" s="36">
        <f t="shared" si="0"/>
        <v>0</v>
      </c>
      <c r="AE65" s="36">
        <f t="shared" si="4"/>
        <v>0</v>
      </c>
      <c r="AF65" s="38">
        <f t="shared" si="5"/>
        <v>0</v>
      </c>
      <c r="AG65" s="38">
        <f t="shared" si="6"/>
        <v>0</v>
      </c>
    </row>
    <row r="66" spans="1:33" ht="23.25" customHeight="1">
      <c r="A66" s="34" t="s">
        <v>52</v>
      </c>
      <c r="B66" s="2"/>
      <c r="C66" s="2"/>
      <c r="D66" s="21"/>
      <c r="AA66" s="35" t="b">
        <v>0</v>
      </c>
      <c r="AB66" s="35" t="b">
        <v>0</v>
      </c>
      <c r="AC66" s="36">
        <f t="shared" si="0"/>
        <v>0</v>
      </c>
      <c r="AD66" s="36">
        <f t="shared" si="0"/>
        <v>0</v>
      </c>
      <c r="AE66" s="36">
        <f t="shared" si="4"/>
        <v>0</v>
      </c>
      <c r="AF66" s="38">
        <f t="shared" si="5"/>
        <v>0</v>
      </c>
      <c r="AG66" s="38">
        <f t="shared" si="6"/>
        <v>0</v>
      </c>
    </row>
    <row r="67" spans="1:33" ht="24.75" customHeight="1">
      <c r="A67" s="34" t="s">
        <v>53</v>
      </c>
      <c r="B67" s="2"/>
      <c r="C67" s="2"/>
      <c r="D67" s="24"/>
      <c r="AA67" s="35" t="b">
        <v>0</v>
      </c>
      <c r="AB67" s="35" t="b">
        <v>0</v>
      </c>
      <c r="AC67" s="36">
        <f t="shared" si="0"/>
        <v>0</v>
      </c>
      <c r="AD67" s="36">
        <f t="shared" si="0"/>
        <v>0</v>
      </c>
      <c r="AE67" s="36">
        <f t="shared" si="4"/>
        <v>0</v>
      </c>
      <c r="AF67" s="38">
        <f t="shared" si="5"/>
        <v>0</v>
      </c>
      <c r="AG67" s="38">
        <f t="shared" si="6"/>
        <v>0</v>
      </c>
    </row>
    <row r="68" spans="1:33" ht="24" customHeight="1">
      <c r="A68" s="34" t="s">
        <v>54</v>
      </c>
      <c r="B68" s="28"/>
      <c r="C68" s="28"/>
      <c r="D68" s="29"/>
      <c r="AA68" s="35" t="b">
        <v>0</v>
      </c>
      <c r="AB68" s="35" t="b">
        <v>0</v>
      </c>
      <c r="AC68" s="36">
        <f t="shared" si="0"/>
        <v>0</v>
      </c>
      <c r="AD68" s="36">
        <f t="shared" si="0"/>
        <v>0</v>
      </c>
      <c r="AE68" s="36">
        <f t="shared" si="4"/>
        <v>0</v>
      </c>
      <c r="AF68" s="38">
        <f t="shared" si="5"/>
        <v>0</v>
      </c>
      <c r="AG68" s="38">
        <f t="shared" si="6"/>
        <v>0</v>
      </c>
    </row>
    <row r="69" spans="1:33" ht="21.65" customHeight="1">
      <c r="A69" s="34" t="s">
        <v>55</v>
      </c>
      <c r="B69" s="6"/>
      <c r="C69" s="6"/>
      <c r="D69" s="20"/>
      <c r="AA69" s="35" t="b">
        <v>0</v>
      </c>
      <c r="AB69" s="35" t="b">
        <v>0</v>
      </c>
      <c r="AC69" s="36">
        <f t="shared" si="0"/>
        <v>0</v>
      </c>
      <c r="AD69" s="36">
        <f t="shared" si="0"/>
        <v>0</v>
      </c>
      <c r="AE69" s="36">
        <f t="shared" si="4"/>
        <v>0</v>
      </c>
      <c r="AF69" s="38">
        <f t="shared" si="5"/>
        <v>0</v>
      </c>
      <c r="AG69" s="38">
        <f t="shared" si="6"/>
        <v>0</v>
      </c>
    </row>
    <row r="70" spans="1:33" ht="21.65" customHeight="1">
      <c r="A70" s="26"/>
      <c r="B70" s="2"/>
      <c r="C70" s="2"/>
      <c r="D70" s="21"/>
      <c r="AA70" s="35" t="b">
        <v>0</v>
      </c>
      <c r="AB70" s="35" t="b">
        <v>0</v>
      </c>
      <c r="AC70" s="36">
        <f t="shared" si="0"/>
        <v>0</v>
      </c>
      <c r="AD70" s="36">
        <f t="shared" si="0"/>
        <v>0</v>
      </c>
      <c r="AE70" s="36">
        <f t="shared" si="4"/>
        <v>0</v>
      </c>
      <c r="AF70" s="38">
        <f t="shared" si="5"/>
        <v>0</v>
      </c>
      <c r="AG70" s="38">
        <f t="shared" si="6"/>
        <v>0</v>
      </c>
    </row>
    <row r="71" spans="1:33" ht="21.65" customHeight="1">
      <c r="A71" s="26"/>
      <c r="B71" s="2"/>
      <c r="C71" s="2"/>
      <c r="D71" s="21"/>
      <c r="AA71" s="35" t="b">
        <v>0</v>
      </c>
      <c r="AB71" s="35" t="b">
        <v>0</v>
      </c>
      <c r="AC71" s="36">
        <f t="shared" si="0"/>
        <v>0</v>
      </c>
      <c r="AD71" s="36">
        <f t="shared" si="0"/>
        <v>0</v>
      </c>
      <c r="AE71" s="36">
        <f t="shared" si="4"/>
        <v>0</v>
      </c>
      <c r="AF71" s="38">
        <f t="shared" si="5"/>
        <v>0</v>
      </c>
      <c r="AG71" s="38">
        <f t="shared" si="6"/>
        <v>0</v>
      </c>
    </row>
    <row r="72" spans="1:33" ht="21.65" customHeight="1">
      <c r="A72" s="26"/>
      <c r="B72" s="2"/>
      <c r="C72" s="2"/>
      <c r="D72" s="21"/>
      <c r="AA72" s="35" t="b">
        <v>0</v>
      </c>
      <c r="AB72" s="35" t="b">
        <v>0</v>
      </c>
      <c r="AC72" s="36">
        <f t="shared" si="0"/>
        <v>0</v>
      </c>
      <c r="AD72" s="36">
        <f t="shared" si="0"/>
        <v>0</v>
      </c>
      <c r="AE72" s="36">
        <f t="shared" si="4"/>
        <v>0</v>
      </c>
      <c r="AF72" s="38">
        <f t="shared" si="5"/>
        <v>0</v>
      </c>
      <c r="AG72" s="38">
        <f t="shared" si="6"/>
        <v>0</v>
      </c>
    </row>
    <row r="73" spans="1:33" ht="21.65" customHeight="1" thickBot="1">
      <c r="A73" s="32"/>
      <c r="B73" s="5"/>
      <c r="C73" s="5"/>
      <c r="D73" s="22"/>
      <c r="AA73" s="35" t="b">
        <v>0</v>
      </c>
      <c r="AB73" s="35" t="b">
        <v>0</v>
      </c>
      <c r="AC73" s="36">
        <f t="shared" si="0"/>
        <v>0</v>
      </c>
      <c r="AD73" s="36">
        <f t="shared" si="0"/>
        <v>0</v>
      </c>
      <c r="AE73" s="36">
        <f t="shared" si="4"/>
        <v>0</v>
      </c>
      <c r="AF73" s="38">
        <f t="shared" si="5"/>
        <v>0</v>
      </c>
      <c r="AG73" s="38">
        <f t="shared" si="6"/>
        <v>0</v>
      </c>
    </row>
    <row r="74" spans="1:33" ht="21.65" customHeight="1">
      <c r="A74" s="11" t="s">
        <v>16</v>
      </c>
      <c r="B74" s="13">
        <f>AF74</f>
        <v>0</v>
      </c>
      <c r="C74" s="13">
        <f>AG74</f>
        <v>0</v>
      </c>
      <c r="AC74" s="36" t="str">
        <f t="shared" si="0"/>
        <v/>
      </c>
      <c r="AD74" s="36" t="str">
        <f t="shared" si="0"/>
        <v/>
      </c>
      <c r="AF74" s="39">
        <f>SUM(AF64:AF73)</f>
        <v>0</v>
      </c>
      <c r="AG74" s="39">
        <f>SUM(AG64:AG73)</f>
        <v>0</v>
      </c>
    </row>
    <row r="75" spans="1:33" ht="16" customHeight="1">
      <c r="A75" s="1" t="s">
        <v>4</v>
      </c>
    </row>
    <row r="76" spans="1:33" ht="41.5" customHeight="1">
      <c r="A76" s="45"/>
      <c r="B76" s="46"/>
      <c r="C76" s="46"/>
      <c r="D76" s="47"/>
      <c r="AF76" s="39">
        <f>SUM(AF26,AF38,AF50,AF62,AF74)</f>
        <v>0</v>
      </c>
      <c r="AG76" s="39">
        <f>SUM(AG26,AG38,AG50,AG62,AG74)</f>
        <v>0</v>
      </c>
    </row>
    <row r="77" spans="1:33" ht="21.65" customHeight="1">
      <c r="A77" s="40" t="s">
        <v>5</v>
      </c>
    </row>
    <row r="78" spans="1:33" ht="41.5" customHeight="1">
      <c r="A78" s="45"/>
      <c r="B78" s="46"/>
      <c r="C78" s="46"/>
      <c r="D78" s="47"/>
    </row>
    <row r="79" spans="1:33" ht="21.65" customHeight="1">
      <c r="A79" s="40" t="s">
        <v>6</v>
      </c>
    </row>
    <row r="80" spans="1:33" ht="41.5" customHeight="1">
      <c r="A80" s="45"/>
      <c r="B80" s="46"/>
      <c r="C80" s="46"/>
      <c r="D80" s="47"/>
    </row>
    <row r="82" spans="1:5">
      <c r="A82" s="14" t="s">
        <v>13</v>
      </c>
      <c r="B82" s="14" t="s">
        <v>14</v>
      </c>
    </row>
    <row r="84" spans="1:5" ht="14">
      <c r="A84" s="41" t="s">
        <v>64</v>
      </c>
      <c r="B84" s="16"/>
      <c r="C84" s="41"/>
      <c r="D84" s="43" t="s">
        <v>57</v>
      </c>
      <c r="E84" s="43"/>
    </row>
    <row r="85" spans="1:5">
      <c r="A85" s="42" t="s">
        <v>17</v>
      </c>
      <c r="C85" s="42"/>
      <c r="D85" s="44" t="s">
        <v>58</v>
      </c>
      <c r="E85" s="44"/>
    </row>
    <row r="86" spans="1:5">
      <c r="D86" s="40"/>
      <c r="E86" s="4"/>
    </row>
    <row r="87" spans="1:5">
      <c r="D87" s="40"/>
      <c r="E87" s="4"/>
    </row>
    <row r="88" spans="1:5" ht="14">
      <c r="D88" s="43" t="s">
        <v>60</v>
      </c>
      <c r="E88" s="43"/>
    </row>
    <row r="89" spans="1:5">
      <c r="D89" s="44" t="s">
        <v>59</v>
      </c>
      <c r="E89" s="44"/>
    </row>
  </sheetData>
  <sheetProtection algorithmName="SHA-512" hashValue="KRG1ujBjykvS43p0xqeUeW2pizHNTEDFCCBoxL+reUYbUDRfUCqUwBfIxRsIuhsUP1mwhopr8DSBgvhOJWhfcQ==" saltValue="5hnqib15ebIQK0beRJnrOg==" spinCount="100000" sheet="1" formatCells="0" formatColumns="0" formatRows="0"/>
  <mergeCells count="15">
    <mergeCell ref="D85:E85"/>
    <mergeCell ref="D88:E88"/>
    <mergeCell ref="D89:E89"/>
    <mergeCell ref="B12:D12"/>
    <mergeCell ref="B13:D13"/>
    <mergeCell ref="A76:D76"/>
    <mergeCell ref="A78:D78"/>
    <mergeCell ref="A80:D80"/>
    <mergeCell ref="D84:E84"/>
    <mergeCell ref="A5:D5"/>
    <mergeCell ref="A6:D6"/>
    <mergeCell ref="A7:D7"/>
    <mergeCell ref="A8:D8"/>
    <mergeCell ref="A10:D10"/>
    <mergeCell ref="B11:D11"/>
  </mergeCells>
  <conditionalFormatting sqref="B16:C16">
    <cfRule type="expression" dxfId="195" priority="49">
      <formula>$AE$16&gt;1</formula>
    </cfRule>
  </conditionalFormatting>
  <conditionalFormatting sqref="B17:C17">
    <cfRule type="expression" dxfId="194" priority="48">
      <formula>$AE$17&gt;1</formula>
    </cfRule>
  </conditionalFormatting>
  <conditionalFormatting sqref="B18:C18">
    <cfRule type="expression" dxfId="193" priority="15">
      <formula>$AE$18&gt;1</formula>
    </cfRule>
  </conditionalFormatting>
  <conditionalFormatting sqref="B19:C19">
    <cfRule type="expression" dxfId="192" priority="46">
      <formula>$AE$19&gt;1</formula>
    </cfRule>
  </conditionalFormatting>
  <conditionalFormatting sqref="B20:C20">
    <cfRule type="expression" dxfId="191" priority="47">
      <formula>$AE$20&gt;1</formula>
    </cfRule>
  </conditionalFormatting>
  <conditionalFormatting sqref="B21:C21">
    <cfRule type="expression" dxfId="190" priority="45">
      <formula>$AE$21&gt;1</formula>
    </cfRule>
  </conditionalFormatting>
  <conditionalFormatting sqref="B22:C22">
    <cfRule type="expression" dxfId="189" priority="44">
      <formula>$AE$22&gt;1</formula>
    </cfRule>
  </conditionalFormatting>
  <conditionalFormatting sqref="B23:C23">
    <cfRule type="expression" dxfId="188" priority="14">
      <formula>$AE$23&gt;1</formula>
    </cfRule>
  </conditionalFormatting>
  <conditionalFormatting sqref="B24:C24">
    <cfRule type="expression" dxfId="187" priority="43">
      <formula>$AE$24&gt;1</formula>
    </cfRule>
  </conditionalFormatting>
  <conditionalFormatting sqref="B25:C25">
    <cfRule type="expression" dxfId="186" priority="42">
      <formula>$AE$25&gt;1</formula>
    </cfRule>
  </conditionalFormatting>
  <conditionalFormatting sqref="B28:C28">
    <cfRule type="expression" dxfId="185" priority="41">
      <formula>$AE$28&gt;1</formula>
    </cfRule>
  </conditionalFormatting>
  <conditionalFormatting sqref="B29:C29">
    <cfRule type="expression" dxfId="184" priority="40">
      <formula>$AE$29&gt;1</formula>
    </cfRule>
  </conditionalFormatting>
  <conditionalFormatting sqref="B30:C30">
    <cfRule type="expression" dxfId="183" priority="39">
      <formula>$AE$30&gt;1</formula>
    </cfRule>
  </conditionalFormatting>
  <conditionalFormatting sqref="B31:C31">
    <cfRule type="expression" dxfId="182" priority="13">
      <formula>$AE$31&gt;1</formula>
    </cfRule>
  </conditionalFormatting>
  <conditionalFormatting sqref="B32:C32">
    <cfRule type="expression" dxfId="181" priority="38">
      <formula>$AE$32&gt;1</formula>
    </cfRule>
  </conditionalFormatting>
  <conditionalFormatting sqref="B33:C33">
    <cfRule type="expression" dxfId="180" priority="37">
      <formula>$AE$33&gt;1</formula>
    </cfRule>
  </conditionalFormatting>
  <conditionalFormatting sqref="B34:C34">
    <cfRule type="expression" dxfId="179" priority="36">
      <formula>$AE$34&gt;1</formula>
    </cfRule>
  </conditionalFormatting>
  <conditionalFormatting sqref="B35:C35">
    <cfRule type="expression" dxfId="178" priority="12">
      <formula>$AE$35&gt;1</formula>
    </cfRule>
  </conditionalFormatting>
  <conditionalFormatting sqref="B36:C36">
    <cfRule type="expression" dxfId="177" priority="35">
      <formula>$AE$36&gt;1</formula>
    </cfRule>
  </conditionalFormatting>
  <conditionalFormatting sqref="B37:C37">
    <cfRule type="expression" dxfId="176" priority="34">
      <formula>$AE$37&gt;1</formula>
    </cfRule>
  </conditionalFormatting>
  <conditionalFormatting sqref="B40:C40">
    <cfRule type="expression" dxfId="175" priority="33">
      <formula>$AE$40&gt;1</formula>
    </cfRule>
  </conditionalFormatting>
  <conditionalFormatting sqref="B41:C41">
    <cfRule type="expression" dxfId="174" priority="32">
      <formula>$AE$41&gt;1</formula>
    </cfRule>
  </conditionalFormatting>
  <conditionalFormatting sqref="B42:C42">
    <cfRule type="expression" dxfId="173" priority="31">
      <formula>$AE$42&gt;1</formula>
    </cfRule>
  </conditionalFormatting>
  <conditionalFormatting sqref="B43:C43">
    <cfRule type="expression" dxfId="172" priority="11">
      <formula>$AE$43&gt;1</formula>
    </cfRule>
  </conditionalFormatting>
  <conditionalFormatting sqref="B44:C44">
    <cfRule type="expression" dxfId="171" priority="30">
      <formula>$AE$44&gt;1</formula>
    </cfRule>
  </conditionalFormatting>
  <conditionalFormatting sqref="B45:C45">
    <cfRule type="expression" dxfId="170" priority="29">
      <formula>$AE$45&gt;1</formula>
    </cfRule>
  </conditionalFormatting>
  <conditionalFormatting sqref="B46:C46">
    <cfRule type="expression" dxfId="169" priority="28">
      <formula>$AE$46&gt;1</formula>
    </cfRule>
  </conditionalFormatting>
  <conditionalFormatting sqref="B47:C47">
    <cfRule type="expression" dxfId="168" priority="27">
      <formula>$AE$47&gt;1</formula>
    </cfRule>
  </conditionalFormatting>
  <conditionalFormatting sqref="B48:C48">
    <cfRule type="expression" dxfId="167" priority="26">
      <formula>$AE$48&gt;1</formula>
    </cfRule>
  </conditionalFormatting>
  <conditionalFormatting sqref="B49:C49">
    <cfRule type="expression" dxfId="166" priority="25">
      <formula>$AE$49&gt;1</formula>
    </cfRule>
  </conditionalFormatting>
  <conditionalFormatting sqref="B52:C52">
    <cfRule type="expression" dxfId="165" priority="19">
      <formula>$AE$52&gt;1</formula>
    </cfRule>
  </conditionalFormatting>
  <conditionalFormatting sqref="B53:C53">
    <cfRule type="expression" dxfId="164" priority="18">
      <formula>$AE$53&gt;1</formula>
    </cfRule>
  </conditionalFormatting>
  <conditionalFormatting sqref="B54:C54">
    <cfRule type="expression" dxfId="163" priority="17">
      <formula>$AE$54&gt;1</formula>
    </cfRule>
  </conditionalFormatting>
  <conditionalFormatting sqref="B55:C55">
    <cfRule type="expression" dxfId="162" priority="10">
      <formula>$AE$55&gt;1</formula>
    </cfRule>
  </conditionalFormatting>
  <conditionalFormatting sqref="B56:C56">
    <cfRule type="expression" dxfId="161" priority="16">
      <formula>$AE$56&gt;1</formula>
    </cfRule>
  </conditionalFormatting>
  <conditionalFormatting sqref="B57:C57">
    <cfRule type="expression" dxfId="160" priority="24">
      <formula>$AE$57&gt;1</formula>
    </cfRule>
  </conditionalFormatting>
  <conditionalFormatting sqref="B58:C58">
    <cfRule type="expression" dxfId="159" priority="23">
      <formula>$AE$58&gt;1</formula>
    </cfRule>
  </conditionalFormatting>
  <conditionalFormatting sqref="B59:C59">
    <cfRule type="expression" dxfId="158" priority="22">
      <formula>$AE$59&gt;1</formula>
    </cfRule>
  </conditionalFormatting>
  <conditionalFormatting sqref="B60:C60">
    <cfRule type="expression" dxfId="157" priority="21">
      <formula>$AE$60&gt;1</formula>
    </cfRule>
  </conditionalFormatting>
  <conditionalFormatting sqref="B61:C61 B73:C73">
    <cfRule type="expression" dxfId="156" priority="20">
      <formula>$AE$73&gt;1</formula>
    </cfRule>
  </conditionalFormatting>
  <conditionalFormatting sqref="B64:C64">
    <cfRule type="expression" dxfId="155" priority="5">
      <formula>$AE$64&gt;1</formula>
    </cfRule>
  </conditionalFormatting>
  <conditionalFormatting sqref="B65:C65">
    <cfRule type="expression" dxfId="154" priority="4">
      <formula>$AE$65&gt;1</formula>
    </cfRule>
  </conditionalFormatting>
  <conditionalFormatting sqref="B66:C66">
    <cfRule type="expression" dxfId="153" priority="3">
      <formula>$AE$66&gt;1</formula>
    </cfRule>
  </conditionalFormatting>
  <conditionalFormatting sqref="B67:C67">
    <cfRule type="expression" dxfId="152" priority="1">
      <formula>$AE$67&gt;1</formula>
    </cfRule>
  </conditionalFormatting>
  <conditionalFormatting sqref="B68:C68">
    <cfRule type="expression" dxfId="151" priority="2">
      <formula>$AE$68&gt;1</formula>
    </cfRule>
  </conditionalFormatting>
  <conditionalFormatting sqref="B69:C69">
    <cfRule type="expression" dxfId="150" priority="9">
      <formula>$AE$69&gt;1</formula>
    </cfRule>
  </conditionalFormatting>
  <conditionalFormatting sqref="B70:C70">
    <cfRule type="expression" dxfId="149" priority="8">
      <formula>$AE$70&gt;1</formula>
    </cfRule>
  </conditionalFormatting>
  <conditionalFormatting sqref="B71:C71">
    <cfRule type="expression" dxfId="148" priority="7">
      <formula>$AE$71&gt;1</formula>
    </cfRule>
  </conditionalFormatting>
  <conditionalFormatting sqref="B72:C72">
    <cfRule type="expression" dxfId="147" priority="6">
      <formula>$AE$72&gt;1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317500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69850</xdr:rowOff>
                  </from>
                  <to>
                    <xdr:col>1</xdr:col>
                    <xdr:colOff>298450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21</xdr:row>
                    <xdr:rowOff>69850</xdr:rowOff>
                  </from>
                  <to>
                    <xdr:col>1</xdr:col>
                    <xdr:colOff>279400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323850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298450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27</xdr:row>
                    <xdr:rowOff>69850</xdr:rowOff>
                  </from>
                  <to>
                    <xdr:col>1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69850</xdr:rowOff>
                  </from>
                  <to>
                    <xdr:col>1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69850</xdr:rowOff>
                  </from>
                  <to>
                    <xdr:col>1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41</xdr:row>
                    <xdr:rowOff>69850</xdr:rowOff>
                  </from>
                  <to>
                    <xdr:col>1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48</xdr:row>
                    <xdr:rowOff>69850</xdr:rowOff>
                  </from>
                  <to>
                    <xdr:col>1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55</xdr:row>
                    <xdr:rowOff>69850</xdr:rowOff>
                  </from>
                  <to>
                    <xdr:col>1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56</xdr:row>
                    <xdr:rowOff>69850</xdr:rowOff>
                  </from>
                  <to>
                    <xdr:col>1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323850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323850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69850</xdr:rowOff>
                  </from>
                  <to>
                    <xdr:col>2</xdr:col>
                    <xdr:colOff>323850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69850</xdr:rowOff>
                  </from>
                  <to>
                    <xdr:col>2</xdr:col>
                    <xdr:colOff>323850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323850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323850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69850</xdr:rowOff>
                  </from>
                  <to>
                    <xdr:col>2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69850</xdr:rowOff>
                  </from>
                  <to>
                    <xdr:col>2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69850</xdr:rowOff>
                  </from>
                  <to>
                    <xdr:col>2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69850</xdr:rowOff>
                  </from>
                  <to>
                    <xdr:col>2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69850</xdr:rowOff>
                  </from>
                  <to>
                    <xdr:col>2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69850</xdr:rowOff>
                  </from>
                  <to>
                    <xdr:col>2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69850</xdr:rowOff>
                  </from>
                  <to>
                    <xdr:col>2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323850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317500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323850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323850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323850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35</xdr:row>
                    <xdr:rowOff>69850</xdr:rowOff>
                  </from>
                  <to>
                    <xdr:col>1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69850</xdr:rowOff>
                  </from>
                  <to>
                    <xdr:col>2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69850</xdr:rowOff>
                  </from>
                  <to>
                    <xdr:col>1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69850</xdr:rowOff>
                  </from>
                  <to>
                    <xdr:col>2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63</xdr:row>
                    <xdr:rowOff>69850</xdr:rowOff>
                  </from>
                  <to>
                    <xdr:col>1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9" name="Check Box 86">
              <controlPr defaultSize="0" autoFill="0" autoLine="0" autoPict="0">
                <anchor moveWithCells="1">
                  <from>
                    <xdr:col>1</xdr:col>
                    <xdr:colOff>114300</xdr:colOff>
                    <xdr:row>69</xdr:row>
                    <xdr:rowOff>69850</xdr:rowOff>
                  </from>
                  <to>
                    <xdr:col>1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70</xdr:row>
                    <xdr:rowOff>69850</xdr:rowOff>
                  </from>
                  <to>
                    <xdr:col>1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1" name="Check Box 88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63</xdr:row>
                    <xdr:rowOff>69850</xdr:rowOff>
                  </from>
                  <to>
                    <xdr:col>2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69</xdr:row>
                    <xdr:rowOff>69850</xdr:rowOff>
                  </from>
                  <to>
                    <xdr:col>2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70</xdr:row>
                    <xdr:rowOff>69850</xdr:rowOff>
                  </from>
                  <to>
                    <xdr:col>2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2" name="Check Box 99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A42B-9B25-4EF0-926A-2BECE72E810C}">
  <dimension ref="A5:AH89"/>
  <sheetViews>
    <sheetView showGridLines="0" topLeftCell="A73" zoomScale="115" zoomScaleNormal="115" workbookViewId="0">
      <selection activeCell="B21" sqref="B21"/>
    </sheetView>
  </sheetViews>
  <sheetFormatPr defaultColWidth="9.296875" defaultRowHeight="13"/>
  <cols>
    <col min="1" max="1" width="54.69921875" style="40" customWidth="1"/>
    <col min="2" max="3" width="6.796875" style="40" customWidth="1"/>
    <col min="4" max="4" width="44.796875" style="4" customWidth="1"/>
    <col min="5" max="5" width="9.296875" style="40"/>
    <col min="6" max="25" width="9.296875" style="40" customWidth="1"/>
    <col min="26" max="26" width="9.296875" style="40"/>
    <col min="27" max="28" width="9.296875" style="35"/>
    <col min="29" max="30" width="4.19921875" style="36" customWidth="1"/>
    <col min="31" max="31" width="3.296875" style="36" customWidth="1"/>
    <col min="32" max="33" width="9.296875" style="36"/>
    <col min="34" max="34" width="9.296875" style="37"/>
    <col min="35" max="16384" width="9.296875" style="40"/>
  </cols>
  <sheetData>
    <row r="5" spans="1:33" ht="13" customHeight="1">
      <c r="A5" s="48" t="s">
        <v>10</v>
      </c>
      <c r="B5" s="48"/>
      <c r="C5" s="48"/>
      <c r="D5" s="48"/>
    </row>
    <row r="6" spans="1:33" ht="13" customHeight="1">
      <c r="A6" s="49" t="s">
        <v>11</v>
      </c>
      <c r="B6" s="49"/>
      <c r="C6" s="49"/>
      <c r="D6" s="49"/>
    </row>
    <row r="7" spans="1:33">
      <c r="A7" s="50"/>
      <c r="B7" s="50"/>
      <c r="C7" s="50"/>
      <c r="D7" s="50"/>
    </row>
    <row r="8" spans="1:33" ht="13" customHeight="1" thickBot="1">
      <c r="A8" s="51" t="s">
        <v>12</v>
      </c>
      <c r="B8" s="51"/>
      <c r="C8" s="51"/>
      <c r="D8" s="51"/>
    </row>
    <row r="9" spans="1:33" ht="7" customHeight="1" thickTop="1">
      <c r="A9" s="13"/>
      <c r="B9" s="13"/>
      <c r="C9" s="13"/>
      <c r="D9" s="13"/>
    </row>
    <row r="10" spans="1:33" ht="32.5" customHeight="1">
      <c r="A10" s="52" t="s">
        <v>18</v>
      </c>
      <c r="B10" s="53"/>
      <c r="C10" s="53"/>
      <c r="D10" s="53"/>
    </row>
    <row r="11" spans="1:33">
      <c r="A11" s="3" t="s">
        <v>7</v>
      </c>
      <c r="B11" s="54"/>
      <c r="C11" s="55"/>
      <c r="D11" s="55"/>
    </row>
    <row r="12" spans="1:33">
      <c r="A12" s="12" t="s">
        <v>8</v>
      </c>
      <c r="B12" s="54" t="s">
        <v>62</v>
      </c>
      <c r="C12" s="55"/>
      <c r="D12" s="55"/>
    </row>
    <row r="13" spans="1:33">
      <c r="A13" s="12" t="s">
        <v>9</v>
      </c>
      <c r="B13" s="54" t="s">
        <v>63</v>
      </c>
      <c r="C13" s="55"/>
      <c r="D13" s="55"/>
    </row>
    <row r="14" spans="1:33" ht="22.5" customHeight="1" thickBot="1">
      <c r="A14" s="25" t="s">
        <v>19</v>
      </c>
    </row>
    <row r="15" spans="1:33" ht="13.5" thickBot="1">
      <c r="A15" s="7" t="s">
        <v>0</v>
      </c>
      <c r="B15" s="8" t="s">
        <v>1</v>
      </c>
      <c r="C15" s="8" t="s">
        <v>2</v>
      </c>
      <c r="D15" s="9" t="s">
        <v>3</v>
      </c>
    </row>
    <row r="16" spans="1:33" ht="25" customHeight="1">
      <c r="A16" s="34" t="s">
        <v>20</v>
      </c>
      <c r="B16" s="6"/>
      <c r="C16" s="6"/>
      <c r="D16" s="18"/>
      <c r="AA16" s="35" t="b">
        <v>0</v>
      </c>
      <c r="AB16" s="35" t="b">
        <v>0</v>
      </c>
      <c r="AC16" s="36">
        <f>IF(AA16="","",IF(AA16=TRUE,1,0))</f>
        <v>0</v>
      </c>
      <c r="AD16" s="36">
        <f>IF(AB16="","",IF(AB16=TRUE,1,0))</f>
        <v>0</v>
      </c>
      <c r="AE16" s="36">
        <f>SUM(AC16:AD16)</f>
        <v>0</v>
      </c>
      <c r="AF16" s="38">
        <f>IF(AE16=1,AC16,0)</f>
        <v>0</v>
      </c>
      <c r="AG16" s="38">
        <f>IF(AE16=1,AD16,0)</f>
        <v>0</v>
      </c>
    </row>
    <row r="17" spans="1:33" ht="25" customHeight="1">
      <c r="A17" s="34" t="s">
        <v>21</v>
      </c>
      <c r="B17" s="2"/>
      <c r="C17" s="2"/>
      <c r="D17" s="19"/>
      <c r="AA17" s="35" t="b">
        <v>0</v>
      </c>
      <c r="AB17" s="35" t="b">
        <v>0</v>
      </c>
      <c r="AC17" s="36">
        <f t="shared" ref="AC17:AD74" si="0">IF(AA17="","",IF(AA17=TRUE,1,0))</f>
        <v>0</v>
      </c>
      <c r="AD17" s="36">
        <f t="shared" si="0"/>
        <v>0</v>
      </c>
      <c r="AE17" s="36">
        <f t="shared" ref="AE17:AE61" si="1">SUM(AC17:AD17)</f>
        <v>0</v>
      </c>
      <c r="AF17" s="38">
        <f t="shared" ref="AF17:AF61" si="2">IF(AE17=1,AC17,0)</f>
        <v>0</v>
      </c>
      <c r="AG17" s="38">
        <f t="shared" ref="AG17:AG61" si="3">IF(AE17=1,AD17,0)</f>
        <v>0</v>
      </c>
    </row>
    <row r="18" spans="1:33" ht="25" customHeight="1">
      <c r="A18" s="34" t="s">
        <v>22</v>
      </c>
      <c r="B18" s="2"/>
      <c r="C18" s="2"/>
      <c r="D18" s="19"/>
      <c r="AA18" s="35" t="b">
        <v>0</v>
      </c>
      <c r="AB18" s="35" t="b">
        <v>0</v>
      </c>
      <c r="AC18" s="36">
        <f t="shared" si="0"/>
        <v>0</v>
      </c>
      <c r="AD18" s="36">
        <f t="shared" si="0"/>
        <v>0</v>
      </c>
      <c r="AE18" s="36">
        <f t="shared" si="1"/>
        <v>0</v>
      </c>
      <c r="AF18" s="38">
        <f t="shared" si="2"/>
        <v>0</v>
      </c>
      <c r="AG18" s="38">
        <f t="shared" si="3"/>
        <v>0</v>
      </c>
    </row>
    <row r="19" spans="1:33" ht="25" customHeight="1">
      <c r="A19" s="34" t="s">
        <v>23</v>
      </c>
      <c r="B19" s="2"/>
      <c r="C19" s="2"/>
      <c r="D19" s="23"/>
      <c r="AA19" s="35" t="b">
        <v>0</v>
      </c>
      <c r="AB19" s="35" t="b">
        <v>0</v>
      </c>
      <c r="AC19" s="36">
        <f t="shared" si="0"/>
        <v>0</v>
      </c>
      <c r="AD19" s="36">
        <f t="shared" si="0"/>
        <v>0</v>
      </c>
      <c r="AE19" s="36">
        <f t="shared" si="1"/>
        <v>0</v>
      </c>
      <c r="AF19" s="38">
        <f t="shared" si="2"/>
        <v>0</v>
      </c>
      <c r="AG19" s="38">
        <f t="shared" si="3"/>
        <v>0</v>
      </c>
    </row>
    <row r="20" spans="1:33" ht="25" customHeight="1">
      <c r="A20" s="34" t="s">
        <v>24</v>
      </c>
      <c r="B20" s="28"/>
      <c r="C20" s="28"/>
      <c r="D20" s="30"/>
      <c r="AA20" s="35" t="b">
        <v>0</v>
      </c>
      <c r="AB20" s="35" t="b">
        <v>0</v>
      </c>
      <c r="AC20" s="36">
        <f t="shared" si="0"/>
        <v>0</v>
      </c>
      <c r="AD20" s="36">
        <f t="shared" si="0"/>
        <v>0</v>
      </c>
      <c r="AE20" s="36">
        <f t="shared" si="1"/>
        <v>0</v>
      </c>
      <c r="AF20" s="38">
        <f t="shared" si="2"/>
        <v>0</v>
      </c>
      <c r="AG20" s="38">
        <f t="shared" si="3"/>
        <v>0</v>
      </c>
    </row>
    <row r="21" spans="1:33" ht="24" customHeight="1">
      <c r="A21" s="34" t="s">
        <v>25</v>
      </c>
      <c r="B21" s="6"/>
      <c r="C21" s="6"/>
      <c r="D21" s="20"/>
      <c r="AA21" s="35" t="b">
        <v>0</v>
      </c>
      <c r="AB21" s="35" t="b">
        <v>0</v>
      </c>
      <c r="AC21" s="36">
        <f t="shared" si="0"/>
        <v>0</v>
      </c>
      <c r="AD21" s="36">
        <f t="shared" si="0"/>
        <v>0</v>
      </c>
      <c r="AE21" s="36">
        <f t="shared" si="1"/>
        <v>0</v>
      </c>
      <c r="AF21" s="38">
        <f t="shared" si="2"/>
        <v>0</v>
      </c>
      <c r="AG21" s="38">
        <f t="shared" si="3"/>
        <v>0</v>
      </c>
    </row>
    <row r="22" spans="1:33" ht="21.65" customHeight="1">
      <c r="A22" s="26"/>
      <c r="B22" s="2"/>
      <c r="C22" s="2"/>
      <c r="D22" s="21"/>
      <c r="AA22" s="35" t="b">
        <v>0</v>
      </c>
      <c r="AB22" s="35" t="b">
        <v>0</v>
      </c>
      <c r="AC22" s="36">
        <f t="shared" si="0"/>
        <v>0</v>
      </c>
      <c r="AD22" s="36">
        <f t="shared" si="0"/>
        <v>0</v>
      </c>
      <c r="AE22" s="36">
        <f t="shared" si="1"/>
        <v>0</v>
      </c>
      <c r="AF22" s="38">
        <f t="shared" si="2"/>
        <v>0</v>
      </c>
      <c r="AG22" s="38">
        <f t="shared" si="3"/>
        <v>0</v>
      </c>
    </row>
    <row r="23" spans="1:33" ht="21.65" customHeight="1">
      <c r="A23" s="26"/>
      <c r="B23" s="2"/>
      <c r="C23" s="2"/>
      <c r="D23" s="21"/>
      <c r="AA23" s="35" t="b">
        <v>0</v>
      </c>
      <c r="AB23" s="35" t="b">
        <v>0</v>
      </c>
      <c r="AC23" s="36">
        <f t="shared" si="0"/>
        <v>0</v>
      </c>
      <c r="AD23" s="36">
        <f t="shared" si="0"/>
        <v>0</v>
      </c>
      <c r="AE23" s="36">
        <f t="shared" si="1"/>
        <v>0</v>
      </c>
      <c r="AF23" s="38">
        <f t="shared" si="2"/>
        <v>0</v>
      </c>
      <c r="AG23" s="38">
        <f t="shared" si="3"/>
        <v>0</v>
      </c>
    </row>
    <row r="24" spans="1:33" ht="21.65" customHeight="1">
      <c r="A24" s="26"/>
      <c r="B24" s="2"/>
      <c r="C24" s="2"/>
      <c r="D24" s="24"/>
      <c r="AA24" s="35" t="b">
        <v>0</v>
      </c>
      <c r="AB24" s="35" t="b">
        <v>0</v>
      </c>
      <c r="AC24" s="36">
        <f t="shared" si="0"/>
        <v>0</v>
      </c>
      <c r="AD24" s="36">
        <f t="shared" si="0"/>
        <v>0</v>
      </c>
      <c r="AE24" s="36">
        <f t="shared" si="1"/>
        <v>0</v>
      </c>
      <c r="AF24" s="38">
        <f t="shared" si="2"/>
        <v>0</v>
      </c>
      <c r="AG24" s="38">
        <f t="shared" si="3"/>
        <v>0</v>
      </c>
    </row>
    <row r="25" spans="1:33" ht="21.65" customHeight="1" thickBot="1">
      <c r="A25" s="32"/>
      <c r="B25" s="5"/>
      <c r="C25" s="5"/>
      <c r="D25" s="22"/>
      <c r="AA25" s="35" t="b">
        <v>0</v>
      </c>
      <c r="AB25" s="35" t="b">
        <v>0</v>
      </c>
      <c r="AC25" s="36">
        <f t="shared" si="0"/>
        <v>0</v>
      </c>
      <c r="AD25" s="36">
        <f t="shared" si="0"/>
        <v>0</v>
      </c>
      <c r="AE25" s="36">
        <f t="shared" si="1"/>
        <v>0</v>
      </c>
      <c r="AF25" s="38">
        <f t="shared" si="2"/>
        <v>0</v>
      </c>
      <c r="AG25" s="38">
        <f t="shared" si="3"/>
        <v>0</v>
      </c>
    </row>
    <row r="26" spans="1:33" ht="21.65" customHeight="1" thickBot="1">
      <c r="A26" s="27" t="s">
        <v>26</v>
      </c>
      <c r="B26" s="13">
        <f>AF26</f>
        <v>0</v>
      </c>
      <c r="C26" s="13">
        <f>AG26</f>
        <v>0</v>
      </c>
      <c r="AC26" s="36" t="str">
        <f t="shared" si="0"/>
        <v/>
      </c>
      <c r="AD26" s="36" t="str">
        <f t="shared" si="0"/>
        <v/>
      </c>
      <c r="AF26" s="39">
        <f>SUM(AF16:AF25)</f>
        <v>0</v>
      </c>
      <c r="AG26" s="39">
        <f>SUM(AG16:AG25)</f>
        <v>0</v>
      </c>
    </row>
    <row r="27" spans="1:33" ht="21.65" customHeight="1" thickBot="1">
      <c r="A27" s="7" t="s">
        <v>0</v>
      </c>
      <c r="B27" s="8" t="s">
        <v>1</v>
      </c>
      <c r="C27" s="10" t="s">
        <v>2</v>
      </c>
      <c r="D27" s="9" t="s">
        <v>3</v>
      </c>
      <c r="AC27" s="36" t="str">
        <f t="shared" si="0"/>
        <v/>
      </c>
      <c r="AD27" s="36" t="str">
        <f t="shared" si="0"/>
        <v/>
      </c>
      <c r="AF27" s="38"/>
      <c r="AG27" s="38"/>
    </row>
    <row r="28" spans="1:33" ht="24.75" customHeight="1">
      <c r="A28" s="34" t="s">
        <v>27</v>
      </c>
      <c r="B28" s="2"/>
      <c r="C28" s="2"/>
      <c r="D28" s="20"/>
      <c r="AA28" s="35" t="b">
        <v>0</v>
      </c>
      <c r="AB28" s="35" t="b">
        <v>0</v>
      </c>
      <c r="AC28" s="36">
        <f t="shared" si="0"/>
        <v>0</v>
      </c>
      <c r="AD28" s="36">
        <f t="shared" si="0"/>
        <v>0</v>
      </c>
      <c r="AE28" s="36">
        <f t="shared" si="1"/>
        <v>0</v>
      </c>
      <c r="AF28" s="38">
        <f t="shared" si="2"/>
        <v>0</v>
      </c>
      <c r="AG28" s="38">
        <f t="shared" si="3"/>
        <v>0</v>
      </c>
    </row>
    <row r="29" spans="1:33" ht="25.5" customHeight="1">
      <c r="A29" s="34" t="s">
        <v>28</v>
      </c>
      <c r="B29" s="2"/>
      <c r="C29" s="2"/>
      <c r="D29" s="21"/>
      <c r="AA29" s="35" t="b">
        <v>0</v>
      </c>
      <c r="AB29" s="35" t="b">
        <v>0</v>
      </c>
      <c r="AC29" s="36">
        <f t="shared" si="0"/>
        <v>0</v>
      </c>
      <c r="AD29" s="36">
        <f t="shared" si="0"/>
        <v>0</v>
      </c>
      <c r="AE29" s="36">
        <f t="shared" si="1"/>
        <v>0</v>
      </c>
      <c r="AF29" s="38">
        <f t="shared" si="2"/>
        <v>0</v>
      </c>
      <c r="AG29" s="38">
        <f t="shared" si="3"/>
        <v>0</v>
      </c>
    </row>
    <row r="30" spans="1:33" ht="25.5" customHeight="1">
      <c r="A30" s="34" t="s">
        <v>29</v>
      </c>
      <c r="B30" s="2"/>
      <c r="C30" s="2"/>
      <c r="D30" s="21"/>
      <c r="AA30" s="35" t="b">
        <v>0</v>
      </c>
      <c r="AB30" s="35" t="b">
        <v>0</v>
      </c>
      <c r="AC30" s="36">
        <f t="shared" si="0"/>
        <v>0</v>
      </c>
      <c r="AD30" s="36">
        <f t="shared" si="0"/>
        <v>0</v>
      </c>
      <c r="AE30" s="36">
        <f t="shared" si="1"/>
        <v>0</v>
      </c>
      <c r="AF30" s="38">
        <f t="shared" si="2"/>
        <v>0</v>
      </c>
      <c r="AG30" s="38">
        <f t="shared" si="3"/>
        <v>0</v>
      </c>
    </row>
    <row r="31" spans="1:33" ht="27" customHeight="1">
      <c r="A31" s="34" t="s">
        <v>30</v>
      </c>
      <c r="B31" s="2"/>
      <c r="C31" s="2"/>
      <c r="D31" s="24"/>
      <c r="AA31" s="35" t="b">
        <v>0</v>
      </c>
      <c r="AB31" s="35" t="b">
        <v>0</v>
      </c>
      <c r="AC31" s="36">
        <f t="shared" si="0"/>
        <v>0</v>
      </c>
      <c r="AD31" s="36">
        <f t="shared" si="0"/>
        <v>0</v>
      </c>
      <c r="AE31" s="36">
        <f t="shared" si="1"/>
        <v>0</v>
      </c>
      <c r="AF31" s="38">
        <f t="shared" si="2"/>
        <v>0</v>
      </c>
      <c r="AG31" s="38">
        <f t="shared" si="3"/>
        <v>0</v>
      </c>
    </row>
    <row r="32" spans="1:33" ht="24.75" customHeight="1">
      <c r="A32" s="34" t="s">
        <v>31</v>
      </c>
      <c r="B32" s="28"/>
      <c r="C32" s="28"/>
      <c r="D32" s="29"/>
      <c r="AA32" s="35" t="b">
        <v>0</v>
      </c>
      <c r="AB32" s="35" t="b">
        <v>0</v>
      </c>
      <c r="AC32" s="36">
        <f t="shared" si="0"/>
        <v>0</v>
      </c>
      <c r="AD32" s="36">
        <f t="shared" si="0"/>
        <v>0</v>
      </c>
      <c r="AE32" s="36">
        <f t="shared" si="1"/>
        <v>0</v>
      </c>
      <c r="AF32" s="38">
        <f t="shared" si="2"/>
        <v>0</v>
      </c>
      <c r="AG32" s="38">
        <f t="shared" si="3"/>
        <v>0</v>
      </c>
    </row>
    <row r="33" spans="1:33" ht="27" customHeight="1">
      <c r="A33" s="34" t="s">
        <v>32</v>
      </c>
      <c r="B33" s="6"/>
      <c r="C33" s="6"/>
      <c r="D33" s="20"/>
      <c r="AA33" s="35" t="b">
        <v>0</v>
      </c>
      <c r="AB33" s="35" t="b">
        <v>0</v>
      </c>
      <c r="AC33" s="36">
        <f t="shared" si="0"/>
        <v>0</v>
      </c>
      <c r="AD33" s="36">
        <f t="shared" si="0"/>
        <v>0</v>
      </c>
      <c r="AE33" s="36">
        <f t="shared" si="1"/>
        <v>0</v>
      </c>
      <c r="AF33" s="38">
        <f t="shared" si="2"/>
        <v>0</v>
      </c>
      <c r="AG33" s="38">
        <f t="shared" si="3"/>
        <v>0</v>
      </c>
    </row>
    <row r="34" spans="1:33" ht="26.25" customHeight="1">
      <c r="A34" s="34" t="s">
        <v>33</v>
      </c>
      <c r="B34" s="2"/>
      <c r="C34" s="2"/>
      <c r="D34" s="21"/>
      <c r="AA34" s="35" t="b">
        <v>0</v>
      </c>
      <c r="AB34" s="35" t="b">
        <v>0</v>
      </c>
      <c r="AC34" s="36">
        <f t="shared" si="0"/>
        <v>0</v>
      </c>
      <c r="AD34" s="36">
        <f t="shared" si="0"/>
        <v>0</v>
      </c>
      <c r="AE34" s="36">
        <f t="shared" si="1"/>
        <v>0</v>
      </c>
      <c r="AF34" s="38">
        <f t="shared" si="2"/>
        <v>0</v>
      </c>
      <c r="AG34" s="38">
        <f t="shared" si="3"/>
        <v>0</v>
      </c>
    </row>
    <row r="35" spans="1:33" ht="21.65" customHeight="1">
      <c r="A35" s="26"/>
      <c r="B35" s="2"/>
      <c r="C35" s="2"/>
      <c r="D35" s="21"/>
      <c r="AA35" s="35" t="b">
        <v>0</v>
      </c>
      <c r="AB35" s="35" t="b">
        <v>0</v>
      </c>
      <c r="AC35" s="36">
        <f t="shared" si="0"/>
        <v>0</v>
      </c>
      <c r="AD35" s="36">
        <f t="shared" si="0"/>
        <v>0</v>
      </c>
      <c r="AE35" s="36">
        <f t="shared" si="1"/>
        <v>0</v>
      </c>
      <c r="AF35" s="38">
        <f t="shared" si="2"/>
        <v>0</v>
      </c>
      <c r="AG35" s="38">
        <f t="shared" si="3"/>
        <v>0</v>
      </c>
    </row>
    <row r="36" spans="1:33" ht="21.65" customHeight="1">
      <c r="A36" s="26"/>
      <c r="B36" s="2"/>
      <c r="C36" s="2"/>
      <c r="D36" s="24"/>
      <c r="AA36" s="35" t="b">
        <v>0</v>
      </c>
      <c r="AB36" s="35" t="b">
        <v>0</v>
      </c>
      <c r="AC36" s="36">
        <f t="shared" si="0"/>
        <v>0</v>
      </c>
      <c r="AD36" s="36">
        <f t="shared" si="0"/>
        <v>0</v>
      </c>
      <c r="AE36" s="36">
        <f t="shared" si="1"/>
        <v>0</v>
      </c>
      <c r="AF36" s="38">
        <f t="shared" si="2"/>
        <v>0</v>
      </c>
      <c r="AG36" s="38">
        <f t="shared" si="3"/>
        <v>0</v>
      </c>
    </row>
    <row r="37" spans="1:33" ht="21.65" customHeight="1" thickBot="1">
      <c r="A37" s="32"/>
      <c r="B37" s="5"/>
      <c r="C37" s="5"/>
      <c r="D37" s="22"/>
      <c r="AA37" s="35" t="b">
        <v>0</v>
      </c>
      <c r="AB37" s="35" t="b">
        <v>0</v>
      </c>
      <c r="AC37" s="36">
        <f t="shared" si="0"/>
        <v>0</v>
      </c>
      <c r="AD37" s="36">
        <f t="shared" si="0"/>
        <v>0</v>
      </c>
      <c r="AE37" s="36">
        <f t="shared" si="1"/>
        <v>0</v>
      </c>
      <c r="AF37" s="38">
        <f t="shared" si="2"/>
        <v>0</v>
      </c>
      <c r="AG37" s="38">
        <f t="shared" si="3"/>
        <v>0</v>
      </c>
    </row>
    <row r="38" spans="1:33" ht="21.65" customHeight="1" thickBot="1">
      <c r="A38" s="31" t="s">
        <v>34</v>
      </c>
      <c r="B38" s="13">
        <f>AF38</f>
        <v>0</v>
      </c>
      <c r="C38" s="13">
        <f>AG38</f>
        <v>0</v>
      </c>
      <c r="AC38" s="36" t="str">
        <f t="shared" si="0"/>
        <v/>
      </c>
      <c r="AD38" s="36" t="str">
        <f t="shared" si="0"/>
        <v/>
      </c>
      <c r="AF38" s="39">
        <f>SUM(AF28:AF37)</f>
        <v>0</v>
      </c>
      <c r="AG38" s="39">
        <f>SUM(AG28:AG37)</f>
        <v>0</v>
      </c>
    </row>
    <row r="39" spans="1:33" ht="21.65" customHeight="1" thickBot="1">
      <c r="A39" s="7" t="s">
        <v>0</v>
      </c>
      <c r="B39" s="8" t="s">
        <v>1</v>
      </c>
      <c r="C39" s="10" t="s">
        <v>2</v>
      </c>
      <c r="D39" s="9" t="s">
        <v>3</v>
      </c>
      <c r="AC39" s="36" t="str">
        <f t="shared" si="0"/>
        <v/>
      </c>
      <c r="AD39" s="36" t="str">
        <f t="shared" si="0"/>
        <v/>
      </c>
      <c r="AF39" s="38"/>
      <c r="AG39" s="38"/>
    </row>
    <row r="40" spans="1:33" ht="24" customHeight="1">
      <c r="A40" s="34" t="s">
        <v>35</v>
      </c>
      <c r="B40" s="2"/>
      <c r="C40" s="2"/>
      <c r="D40" s="20"/>
      <c r="AA40" s="35" t="b">
        <v>0</v>
      </c>
      <c r="AB40" s="35" t="b">
        <v>0</v>
      </c>
      <c r="AC40" s="36">
        <f t="shared" si="0"/>
        <v>0</v>
      </c>
      <c r="AD40" s="36">
        <f t="shared" si="0"/>
        <v>0</v>
      </c>
      <c r="AE40" s="36">
        <f t="shared" si="1"/>
        <v>0</v>
      </c>
      <c r="AF40" s="38">
        <f t="shared" si="2"/>
        <v>0</v>
      </c>
      <c r="AG40" s="38">
        <f t="shared" si="3"/>
        <v>0</v>
      </c>
    </row>
    <row r="41" spans="1:33" ht="24" customHeight="1">
      <c r="A41" s="34" t="s">
        <v>36</v>
      </c>
      <c r="B41" s="2"/>
      <c r="C41" s="2"/>
      <c r="D41" s="21"/>
      <c r="AA41" s="35" t="b">
        <v>0</v>
      </c>
      <c r="AB41" s="35" t="b">
        <v>0</v>
      </c>
      <c r="AC41" s="36">
        <f t="shared" si="0"/>
        <v>0</v>
      </c>
      <c r="AD41" s="36">
        <f t="shared" si="0"/>
        <v>0</v>
      </c>
      <c r="AE41" s="36">
        <f t="shared" si="1"/>
        <v>0</v>
      </c>
      <c r="AF41" s="38">
        <f t="shared" si="2"/>
        <v>0</v>
      </c>
      <c r="AG41" s="38">
        <f t="shared" si="3"/>
        <v>0</v>
      </c>
    </row>
    <row r="42" spans="1:33" ht="23.25" customHeight="1">
      <c r="A42" s="34" t="s">
        <v>37</v>
      </c>
      <c r="B42" s="2"/>
      <c r="C42" s="2"/>
      <c r="D42" s="21"/>
      <c r="AA42" s="35" t="b">
        <v>0</v>
      </c>
      <c r="AB42" s="35" t="b">
        <v>0</v>
      </c>
      <c r="AC42" s="36">
        <f t="shared" si="0"/>
        <v>0</v>
      </c>
      <c r="AD42" s="36">
        <f t="shared" si="0"/>
        <v>0</v>
      </c>
      <c r="AE42" s="36">
        <f t="shared" si="1"/>
        <v>0</v>
      </c>
      <c r="AF42" s="38">
        <f t="shared" si="2"/>
        <v>0</v>
      </c>
      <c r="AG42" s="38">
        <f t="shared" si="3"/>
        <v>0</v>
      </c>
    </row>
    <row r="43" spans="1:33" ht="24.75" customHeight="1">
      <c r="A43" s="34" t="s">
        <v>38</v>
      </c>
      <c r="B43" s="2"/>
      <c r="C43" s="2"/>
      <c r="D43" s="24"/>
      <c r="AA43" s="35" t="b">
        <v>0</v>
      </c>
      <c r="AB43" s="35" t="b">
        <v>0</v>
      </c>
      <c r="AC43" s="36">
        <f t="shared" si="0"/>
        <v>0</v>
      </c>
      <c r="AD43" s="36">
        <f t="shared" si="0"/>
        <v>0</v>
      </c>
      <c r="AE43" s="36">
        <f t="shared" si="1"/>
        <v>0</v>
      </c>
      <c r="AF43" s="38">
        <f t="shared" si="2"/>
        <v>0</v>
      </c>
      <c r="AG43" s="38">
        <f t="shared" si="3"/>
        <v>0</v>
      </c>
    </row>
    <row r="44" spans="1:33" ht="23.25" customHeight="1">
      <c r="A44" s="34" t="s">
        <v>39</v>
      </c>
      <c r="B44" s="28"/>
      <c r="C44" s="28"/>
      <c r="D44" s="29" t="s">
        <v>56</v>
      </c>
      <c r="AA44" s="35" t="b">
        <v>0</v>
      </c>
      <c r="AB44" s="35" t="b">
        <v>0</v>
      </c>
      <c r="AC44" s="36">
        <f t="shared" si="0"/>
        <v>0</v>
      </c>
      <c r="AD44" s="36">
        <f t="shared" si="0"/>
        <v>0</v>
      </c>
      <c r="AE44" s="36">
        <f t="shared" si="1"/>
        <v>0</v>
      </c>
      <c r="AF44" s="38">
        <f t="shared" si="2"/>
        <v>0</v>
      </c>
      <c r="AG44" s="38">
        <f t="shared" si="3"/>
        <v>0</v>
      </c>
    </row>
    <row r="45" spans="1:33" ht="24" customHeight="1">
      <c r="A45" s="34" t="s">
        <v>40</v>
      </c>
      <c r="B45" s="6"/>
      <c r="C45" s="6"/>
      <c r="D45" s="20"/>
      <c r="AA45" s="35" t="b">
        <v>0</v>
      </c>
      <c r="AB45" s="35" t="b">
        <v>0</v>
      </c>
      <c r="AC45" s="36">
        <f t="shared" si="0"/>
        <v>0</v>
      </c>
      <c r="AD45" s="36">
        <f t="shared" si="0"/>
        <v>0</v>
      </c>
      <c r="AE45" s="36">
        <f t="shared" si="1"/>
        <v>0</v>
      </c>
      <c r="AF45" s="38">
        <f t="shared" si="2"/>
        <v>0</v>
      </c>
      <c r="AG45" s="38">
        <f t="shared" si="3"/>
        <v>0</v>
      </c>
    </row>
    <row r="46" spans="1:33" ht="24" customHeight="1">
      <c r="A46" s="34" t="s">
        <v>41</v>
      </c>
      <c r="B46" s="2"/>
      <c r="C46" s="2"/>
      <c r="D46" s="21"/>
      <c r="AA46" s="35" t="b">
        <v>0</v>
      </c>
      <c r="AB46" s="35" t="b">
        <v>0</v>
      </c>
      <c r="AC46" s="36">
        <f t="shared" si="0"/>
        <v>0</v>
      </c>
      <c r="AD46" s="36">
        <f t="shared" si="0"/>
        <v>0</v>
      </c>
      <c r="AE46" s="36">
        <f t="shared" si="1"/>
        <v>0</v>
      </c>
      <c r="AF46" s="38">
        <f t="shared" si="2"/>
        <v>0</v>
      </c>
      <c r="AG46" s="38">
        <f t="shared" si="3"/>
        <v>0</v>
      </c>
    </row>
    <row r="47" spans="1:33" ht="21.65" customHeight="1">
      <c r="A47" s="26"/>
      <c r="B47" s="2"/>
      <c r="C47" s="2"/>
      <c r="D47" s="21"/>
      <c r="AA47" s="35" t="b">
        <v>0</v>
      </c>
      <c r="AB47" s="35" t="b">
        <v>0</v>
      </c>
      <c r="AC47" s="36">
        <f t="shared" si="0"/>
        <v>0</v>
      </c>
      <c r="AD47" s="36">
        <f t="shared" si="0"/>
        <v>0</v>
      </c>
      <c r="AE47" s="36">
        <f t="shared" si="1"/>
        <v>0</v>
      </c>
      <c r="AF47" s="38">
        <f t="shared" si="2"/>
        <v>0</v>
      </c>
      <c r="AG47" s="38">
        <f t="shared" si="3"/>
        <v>0</v>
      </c>
    </row>
    <row r="48" spans="1:33" ht="21.65" customHeight="1">
      <c r="A48" s="26"/>
      <c r="B48" s="2"/>
      <c r="C48" s="2"/>
      <c r="D48" s="21"/>
      <c r="AA48" s="35" t="b">
        <v>0</v>
      </c>
      <c r="AB48" s="35" t="b">
        <v>0</v>
      </c>
      <c r="AC48" s="36">
        <f t="shared" si="0"/>
        <v>0</v>
      </c>
      <c r="AD48" s="36">
        <f t="shared" si="0"/>
        <v>0</v>
      </c>
      <c r="AE48" s="36">
        <f t="shared" si="1"/>
        <v>0</v>
      </c>
      <c r="AF48" s="38">
        <f t="shared" si="2"/>
        <v>0</v>
      </c>
      <c r="AG48" s="38">
        <f t="shared" si="3"/>
        <v>0</v>
      </c>
    </row>
    <row r="49" spans="1:33" ht="21.65" customHeight="1" thickBot="1">
      <c r="A49" s="32"/>
      <c r="B49" s="5"/>
      <c r="C49" s="5"/>
      <c r="D49" s="22"/>
      <c r="AA49" s="35" t="b">
        <v>0</v>
      </c>
      <c r="AB49" s="35" t="b">
        <v>0</v>
      </c>
      <c r="AC49" s="36">
        <f t="shared" si="0"/>
        <v>0</v>
      </c>
      <c r="AD49" s="36">
        <f t="shared" si="0"/>
        <v>0</v>
      </c>
      <c r="AE49" s="36">
        <f t="shared" si="1"/>
        <v>0</v>
      </c>
      <c r="AF49" s="38">
        <f t="shared" si="2"/>
        <v>0</v>
      </c>
      <c r="AG49" s="38">
        <f t="shared" si="3"/>
        <v>0</v>
      </c>
    </row>
    <row r="50" spans="1:33" ht="21.65" customHeight="1" thickBot="1">
      <c r="A50" s="27" t="s">
        <v>42</v>
      </c>
      <c r="B50" s="13">
        <f>AF50</f>
        <v>0</v>
      </c>
      <c r="C50" s="13">
        <f>AG50</f>
        <v>0</v>
      </c>
      <c r="AC50" s="36" t="str">
        <f t="shared" si="0"/>
        <v/>
      </c>
      <c r="AD50" s="36" t="str">
        <f t="shared" si="0"/>
        <v/>
      </c>
      <c r="AF50" s="39">
        <f>SUM(AF40:AF49)</f>
        <v>0</v>
      </c>
      <c r="AG50" s="39">
        <f>SUM(AG40:AG49)</f>
        <v>0</v>
      </c>
    </row>
    <row r="51" spans="1:33" ht="21.65" customHeight="1" thickBot="1">
      <c r="A51" s="33" t="s">
        <v>15</v>
      </c>
      <c r="B51" s="8" t="s">
        <v>1</v>
      </c>
      <c r="C51" s="10" t="s">
        <v>2</v>
      </c>
      <c r="D51" s="9" t="s">
        <v>3</v>
      </c>
      <c r="AC51" s="36" t="str">
        <f t="shared" si="0"/>
        <v/>
      </c>
      <c r="AD51" s="36" t="str">
        <f t="shared" si="0"/>
        <v/>
      </c>
      <c r="AF51" s="38"/>
      <c r="AG51" s="38"/>
    </row>
    <row r="52" spans="1:33" ht="23.25" customHeight="1">
      <c r="A52" s="34" t="s">
        <v>43</v>
      </c>
      <c r="B52" s="6"/>
      <c r="C52" s="6"/>
      <c r="D52" s="20"/>
      <c r="AA52" s="35" t="b">
        <v>0</v>
      </c>
      <c r="AB52" s="35" t="b">
        <v>0</v>
      </c>
      <c r="AC52" s="36">
        <f t="shared" si="0"/>
        <v>0</v>
      </c>
      <c r="AD52" s="36">
        <f t="shared" si="0"/>
        <v>0</v>
      </c>
      <c r="AE52" s="36">
        <f t="shared" si="1"/>
        <v>0</v>
      </c>
      <c r="AF52" s="38">
        <f t="shared" si="2"/>
        <v>0</v>
      </c>
      <c r="AG52" s="38">
        <f t="shared" si="3"/>
        <v>0</v>
      </c>
    </row>
    <row r="53" spans="1:33" ht="21.65" customHeight="1">
      <c r="A53" s="34" t="s">
        <v>44</v>
      </c>
      <c r="B53" s="2"/>
      <c r="C53" s="2"/>
      <c r="D53" s="21"/>
      <c r="AA53" s="35" t="b">
        <v>0</v>
      </c>
      <c r="AB53" s="35" t="b">
        <v>0</v>
      </c>
      <c r="AC53" s="36">
        <f t="shared" si="0"/>
        <v>0</v>
      </c>
      <c r="AD53" s="36">
        <f t="shared" si="0"/>
        <v>0</v>
      </c>
      <c r="AE53" s="36">
        <f t="shared" si="1"/>
        <v>0</v>
      </c>
      <c r="AF53" s="38">
        <f t="shared" si="2"/>
        <v>0</v>
      </c>
      <c r="AG53" s="38">
        <f t="shared" si="3"/>
        <v>0</v>
      </c>
    </row>
    <row r="54" spans="1:33" ht="21.65" customHeight="1">
      <c r="A54" s="34" t="s">
        <v>45</v>
      </c>
      <c r="B54" s="2"/>
      <c r="C54" s="2"/>
      <c r="D54" s="21"/>
      <c r="AA54" s="35" t="b">
        <v>0</v>
      </c>
      <c r="AB54" s="35" t="b">
        <v>0</v>
      </c>
      <c r="AC54" s="36">
        <f t="shared" si="0"/>
        <v>0</v>
      </c>
      <c r="AD54" s="36">
        <f t="shared" si="0"/>
        <v>0</v>
      </c>
      <c r="AE54" s="36">
        <f t="shared" si="1"/>
        <v>0</v>
      </c>
      <c r="AF54" s="38">
        <f t="shared" si="2"/>
        <v>0</v>
      </c>
      <c r="AG54" s="38">
        <f t="shared" si="3"/>
        <v>0</v>
      </c>
    </row>
    <row r="55" spans="1:33" ht="24.75" customHeight="1">
      <c r="A55" s="34" t="s">
        <v>46</v>
      </c>
      <c r="B55" s="2"/>
      <c r="C55" s="2"/>
      <c r="D55" s="24"/>
      <c r="AA55" s="35" t="b">
        <v>0</v>
      </c>
      <c r="AB55" s="35" t="b">
        <v>0</v>
      </c>
      <c r="AC55" s="36">
        <f t="shared" si="0"/>
        <v>0</v>
      </c>
      <c r="AD55" s="36">
        <f t="shared" si="0"/>
        <v>0</v>
      </c>
      <c r="AE55" s="36">
        <f t="shared" si="1"/>
        <v>0</v>
      </c>
      <c r="AF55" s="38">
        <f t="shared" si="2"/>
        <v>0</v>
      </c>
      <c r="AG55" s="38">
        <f t="shared" si="3"/>
        <v>0</v>
      </c>
    </row>
    <row r="56" spans="1:33" ht="22.5" customHeight="1">
      <c r="A56" s="34" t="s">
        <v>47</v>
      </c>
      <c r="B56" s="28"/>
      <c r="C56" s="28"/>
      <c r="D56" s="29"/>
      <c r="AA56" s="35" t="b">
        <v>0</v>
      </c>
      <c r="AB56" s="35" t="b">
        <v>0</v>
      </c>
      <c r="AC56" s="36">
        <f t="shared" si="0"/>
        <v>0</v>
      </c>
      <c r="AD56" s="36">
        <f t="shared" si="0"/>
        <v>0</v>
      </c>
      <c r="AE56" s="36">
        <f t="shared" si="1"/>
        <v>0</v>
      </c>
      <c r="AF56" s="38">
        <f t="shared" si="2"/>
        <v>0</v>
      </c>
      <c r="AG56" s="38">
        <f t="shared" si="3"/>
        <v>0</v>
      </c>
    </row>
    <row r="57" spans="1:33" ht="23.25" customHeight="1">
      <c r="A57" s="34" t="s">
        <v>48</v>
      </c>
      <c r="B57" s="6"/>
      <c r="C57" s="6"/>
      <c r="D57" s="20"/>
      <c r="AA57" s="35" t="b">
        <v>0</v>
      </c>
      <c r="AB57" s="35" t="b">
        <v>0</v>
      </c>
      <c r="AC57" s="36">
        <f t="shared" si="0"/>
        <v>0</v>
      </c>
      <c r="AD57" s="36">
        <f t="shared" si="0"/>
        <v>0</v>
      </c>
      <c r="AE57" s="36">
        <f t="shared" si="1"/>
        <v>0</v>
      </c>
      <c r="AF57" s="38">
        <f t="shared" si="2"/>
        <v>0</v>
      </c>
      <c r="AG57" s="38">
        <f t="shared" si="3"/>
        <v>0</v>
      </c>
    </row>
    <row r="58" spans="1:33" ht="21.65" customHeight="1">
      <c r="A58" s="26"/>
      <c r="B58" s="2"/>
      <c r="C58" s="2"/>
      <c r="D58" s="21"/>
      <c r="AA58" s="35" t="b">
        <v>0</v>
      </c>
      <c r="AB58" s="35" t="b">
        <v>0</v>
      </c>
      <c r="AC58" s="36">
        <f t="shared" si="0"/>
        <v>0</v>
      </c>
      <c r="AD58" s="36">
        <f t="shared" si="0"/>
        <v>0</v>
      </c>
      <c r="AE58" s="36">
        <f t="shared" si="1"/>
        <v>0</v>
      </c>
      <c r="AF58" s="38">
        <f t="shared" si="2"/>
        <v>0</v>
      </c>
      <c r="AG58" s="38">
        <f t="shared" si="3"/>
        <v>0</v>
      </c>
    </row>
    <row r="59" spans="1:33" ht="21.65" customHeight="1">
      <c r="A59" s="26"/>
      <c r="B59" s="2"/>
      <c r="C59" s="2"/>
      <c r="D59" s="21"/>
      <c r="AA59" s="35" t="b">
        <v>0</v>
      </c>
      <c r="AB59" s="35" t="b">
        <v>0</v>
      </c>
      <c r="AC59" s="36">
        <f t="shared" si="0"/>
        <v>0</v>
      </c>
      <c r="AD59" s="36">
        <f t="shared" si="0"/>
        <v>0</v>
      </c>
      <c r="AE59" s="36">
        <f t="shared" si="1"/>
        <v>0</v>
      </c>
      <c r="AF59" s="38">
        <f t="shared" si="2"/>
        <v>0</v>
      </c>
      <c r="AG59" s="38">
        <f t="shared" si="3"/>
        <v>0</v>
      </c>
    </row>
    <row r="60" spans="1:33" ht="21.65" customHeight="1">
      <c r="A60" s="26"/>
      <c r="B60" s="2"/>
      <c r="C60" s="2"/>
      <c r="D60" s="21"/>
      <c r="AA60" s="35" t="b">
        <v>0</v>
      </c>
      <c r="AB60" s="35" t="b">
        <v>0</v>
      </c>
      <c r="AC60" s="36">
        <f t="shared" si="0"/>
        <v>0</v>
      </c>
      <c r="AD60" s="36">
        <f t="shared" si="0"/>
        <v>0</v>
      </c>
      <c r="AE60" s="36">
        <f t="shared" si="1"/>
        <v>0</v>
      </c>
      <c r="AF60" s="38">
        <f t="shared" si="2"/>
        <v>0</v>
      </c>
      <c r="AG60" s="38">
        <f t="shared" si="3"/>
        <v>0</v>
      </c>
    </row>
    <row r="61" spans="1:33" ht="21.65" customHeight="1" thickBot="1">
      <c r="A61" s="32"/>
      <c r="B61" s="5"/>
      <c r="C61" s="5"/>
      <c r="D61" s="22"/>
      <c r="AA61" s="35" t="b">
        <v>0</v>
      </c>
      <c r="AB61" s="35" t="b">
        <v>0</v>
      </c>
      <c r="AC61" s="36">
        <f t="shared" si="0"/>
        <v>0</v>
      </c>
      <c r="AD61" s="36">
        <f t="shared" si="0"/>
        <v>0</v>
      </c>
      <c r="AE61" s="36">
        <f t="shared" si="1"/>
        <v>0</v>
      </c>
      <c r="AF61" s="38">
        <f t="shared" si="2"/>
        <v>0</v>
      </c>
      <c r="AG61" s="38">
        <f t="shared" si="3"/>
        <v>0</v>
      </c>
    </row>
    <row r="62" spans="1:33" ht="21.65" customHeight="1" thickBot="1">
      <c r="A62" s="27" t="s">
        <v>49</v>
      </c>
      <c r="B62" s="13">
        <f>AF62</f>
        <v>0</v>
      </c>
      <c r="C62" s="13">
        <f>AG62</f>
        <v>0</v>
      </c>
      <c r="AC62" s="36" t="str">
        <f t="shared" si="0"/>
        <v/>
      </c>
      <c r="AD62" s="36" t="str">
        <f t="shared" si="0"/>
        <v/>
      </c>
      <c r="AF62" s="39">
        <f>SUM(AF52:AF61)</f>
        <v>0</v>
      </c>
      <c r="AG62" s="39">
        <f>SUM(AG52:AG61)</f>
        <v>0</v>
      </c>
    </row>
    <row r="63" spans="1:33" ht="21.65" customHeight="1" thickBot="1">
      <c r="A63" s="33" t="s">
        <v>15</v>
      </c>
      <c r="B63" s="8" t="s">
        <v>1</v>
      </c>
      <c r="C63" s="10" t="s">
        <v>2</v>
      </c>
      <c r="D63" s="9" t="s">
        <v>3</v>
      </c>
      <c r="AC63" s="36" t="str">
        <f t="shared" si="0"/>
        <v/>
      </c>
      <c r="AD63" s="36" t="str">
        <f t="shared" si="0"/>
        <v/>
      </c>
      <c r="AF63" s="38"/>
      <c r="AG63" s="38"/>
    </row>
    <row r="64" spans="1:33" ht="22.5" customHeight="1">
      <c r="A64" s="34" t="s">
        <v>50</v>
      </c>
      <c r="B64" s="6"/>
      <c r="C64" s="6"/>
      <c r="D64" s="20"/>
      <c r="AA64" s="35" t="b">
        <v>0</v>
      </c>
      <c r="AB64" s="35" t="b">
        <v>0</v>
      </c>
      <c r="AC64" s="36">
        <f t="shared" si="0"/>
        <v>0</v>
      </c>
      <c r="AD64" s="36">
        <f t="shared" si="0"/>
        <v>0</v>
      </c>
      <c r="AE64" s="36">
        <f t="shared" ref="AE64:AE73" si="4">SUM(AC64:AD64)</f>
        <v>0</v>
      </c>
      <c r="AF64" s="38">
        <f t="shared" ref="AF64:AF73" si="5">IF(AE64=1,AC64,0)</f>
        <v>0</v>
      </c>
      <c r="AG64" s="38">
        <f t="shared" ref="AG64:AG73" si="6">IF(AE64=1,AD64,0)</f>
        <v>0</v>
      </c>
    </row>
    <row r="65" spans="1:33" ht="22.5" customHeight="1">
      <c r="A65" s="34" t="s">
        <v>51</v>
      </c>
      <c r="B65" s="2"/>
      <c r="C65" s="2"/>
      <c r="D65" s="21"/>
      <c r="AA65" s="35" t="b">
        <v>0</v>
      </c>
      <c r="AB65" s="35" t="b">
        <v>0</v>
      </c>
      <c r="AC65" s="36">
        <f t="shared" si="0"/>
        <v>0</v>
      </c>
      <c r="AD65" s="36">
        <f t="shared" si="0"/>
        <v>0</v>
      </c>
      <c r="AE65" s="36">
        <f t="shared" si="4"/>
        <v>0</v>
      </c>
      <c r="AF65" s="38">
        <f t="shared" si="5"/>
        <v>0</v>
      </c>
      <c r="AG65" s="38">
        <f t="shared" si="6"/>
        <v>0</v>
      </c>
    </row>
    <row r="66" spans="1:33" ht="23.25" customHeight="1">
      <c r="A66" s="34" t="s">
        <v>52</v>
      </c>
      <c r="B66" s="2"/>
      <c r="C66" s="2"/>
      <c r="D66" s="21"/>
      <c r="AA66" s="35" t="b">
        <v>0</v>
      </c>
      <c r="AB66" s="35" t="b">
        <v>0</v>
      </c>
      <c r="AC66" s="36">
        <f t="shared" si="0"/>
        <v>0</v>
      </c>
      <c r="AD66" s="36">
        <f t="shared" si="0"/>
        <v>0</v>
      </c>
      <c r="AE66" s="36">
        <f t="shared" si="4"/>
        <v>0</v>
      </c>
      <c r="AF66" s="38">
        <f t="shared" si="5"/>
        <v>0</v>
      </c>
      <c r="AG66" s="38">
        <f t="shared" si="6"/>
        <v>0</v>
      </c>
    </row>
    <row r="67" spans="1:33" ht="24.75" customHeight="1">
      <c r="A67" s="34" t="s">
        <v>53</v>
      </c>
      <c r="B67" s="2"/>
      <c r="C67" s="2"/>
      <c r="D67" s="24"/>
      <c r="AA67" s="35" t="b">
        <v>0</v>
      </c>
      <c r="AB67" s="35" t="b">
        <v>0</v>
      </c>
      <c r="AC67" s="36">
        <f t="shared" si="0"/>
        <v>0</v>
      </c>
      <c r="AD67" s="36">
        <f t="shared" si="0"/>
        <v>0</v>
      </c>
      <c r="AE67" s="36">
        <f t="shared" si="4"/>
        <v>0</v>
      </c>
      <c r="AF67" s="38">
        <f t="shared" si="5"/>
        <v>0</v>
      </c>
      <c r="AG67" s="38">
        <f t="shared" si="6"/>
        <v>0</v>
      </c>
    </row>
    <row r="68" spans="1:33" ht="24" customHeight="1">
      <c r="A68" s="34" t="s">
        <v>54</v>
      </c>
      <c r="B68" s="28"/>
      <c r="C68" s="28"/>
      <c r="D68" s="29"/>
      <c r="AA68" s="35" t="b">
        <v>0</v>
      </c>
      <c r="AB68" s="35" t="b">
        <v>0</v>
      </c>
      <c r="AC68" s="36">
        <f t="shared" si="0"/>
        <v>0</v>
      </c>
      <c r="AD68" s="36">
        <f t="shared" si="0"/>
        <v>0</v>
      </c>
      <c r="AE68" s="36">
        <f t="shared" si="4"/>
        <v>0</v>
      </c>
      <c r="AF68" s="38">
        <f t="shared" si="5"/>
        <v>0</v>
      </c>
      <c r="AG68" s="38">
        <f t="shared" si="6"/>
        <v>0</v>
      </c>
    </row>
    <row r="69" spans="1:33" ht="21.65" customHeight="1">
      <c r="A69" s="34" t="s">
        <v>55</v>
      </c>
      <c r="B69" s="6"/>
      <c r="C69" s="6"/>
      <c r="D69" s="20"/>
      <c r="AA69" s="35" t="b">
        <v>0</v>
      </c>
      <c r="AB69" s="35" t="b">
        <v>0</v>
      </c>
      <c r="AC69" s="36">
        <f t="shared" si="0"/>
        <v>0</v>
      </c>
      <c r="AD69" s="36">
        <f t="shared" si="0"/>
        <v>0</v>
      </c>
      <c r="AE69" s="36">
        <f t="shared" si="4"/>
        <v>0</v>
      </c>
      <c r="AF69" s="38">
        <f t="shared" si="5"/>
        <v>0</v>
      </c>
      <c r="AG69" s="38">
        <f t="shared" si="6"/>
        <v>0</v>
      </c>
    </row>
    <row r="70" spans="1:33" ht="21.65" customHeight="1">
      <c r="A70" s="26"/>
      <c r="B70" s="2"/>
      <c r="C70" s="2"/>
      <c r="D70" s="21"/>
      <c r="AA70" s="35" t="b">
        <v>0</v>
      </c>
      <c r="AB70" s="35" t="b">
        <v>0</v>
      </c>
      <c r="AC70" s="36">
        <f t="shared" si="0"/>
        <v>0</v>
      </c>
      <c r="AD70" s="36">
        <f t="shared" si="0"/>
        <v>0</v>
      </c>
      <c r="AE70" s="36">
        <f t="shared" si="4"/>
        <v>0</v>
      </c>
      <c r="AF70" s="38">
        <f t="shared" si="5"/>
        <v>0</v>
      </c>
      <c r="AG70" s="38">
        <f t="shared" si="6"/>
        <v>0</v>
      </c>
    </row>
    <row r="71" spans="1:33" ht="21.65" customHeight="1">
      <c r="A71" s="26"/>
      <c r="B71" s="2"/>
      <c r="C71" s="2"/>
      <c r="D71" s="21"/>
      <c r="AA71" s="35" t="b">
        <v>0</v>
      </c>
      <c r="AB71" s="35" t="b">
        <v>0</v>
      </c>
      <c r="AC71" s="36">
        <f t="shared" si="0"/>
        <v>0</v>
      </c>
      <c r="AD71" s="36">
        <f t="shared" si="0"/>
        <v>0</v>
      </c>
      <c r="AE71" s="36">
        <f t="shared" si="4"/>
        <v>0</v>
      </c>
      <c r="AF71" s="38">
        <f t="shared" si="5"/>
        <v>0</v>
      </c>
      <c r="AG71" s="38">
        <f t="shared" si="6"/>
        <v>0</v>
      </c>
    </row>
    <row r="72" spans="1:33" ht="21.65" customHeight="1">
      <c r="A72" s="26"/>
      <c r="B72" s="2"/>
      <c r="C72" s="2"/>
      <c r="D72" s="21"/>
      <c r="AA72" s="35" t="b">
        <v>0</v>
      </c>
      <c r="AB72" s="35" t="b">
        <v>0</v>
      </c>
      <c r="AC72" s="36">
        <f t="shared" si="0"/>
        <v>0</v>
      </c>
      <c r="AD72" s="36">
        <f t="shared" si="0"/>
        <v>0</v>
      </c>
      <c r="AE72" s="36">
        <f t="shared" si="4"/>
        <v>0</v>
      </c>
      <c r="AF72" s="38">
        <f t="shared" si="5"/>
        <v>0</v>
      </c>
      <c r="AG72" s="38">
        <f t="shared" si="6"/>
        <v>0</v>
      </c>
    </row>
    <row r="73" spans="1:33" ht="21.65" customHeight="1" thickBot="1">
      <c r="A73" s="32"/>
      <c r="B73" s="5"/>
      <c r="C73" s="5"/>
      <c r="D73" s="22"/>
      <c r="AA73" s="35" t="b">
        <v>0</v>
      </c>
      <c r="AB73" s="35" t="b">
        <v>0</v>
      </c>
      <c r="AC73" s="36">
        <f t="shared" si="0"/>
        <v>0</v>
      </c>
      <c r="AD73" s="36">
        <f t="shared" si="0"/>
        <v>0</v>
      </c>
      <c r="AE73" s="36">
        <f t="shared" si="4"/>
        <v>0</v>
      </c>
      <c r="AF73" s="38">
        <f t="shared" si="5"/>
        <v>0</v>
      </c>
      <c r="AG73" s="38">
        <f t="shared" si="6"/>
        <v>0</v>
      </c>
    </row>
    <row r="74" spans="1:33" ht="21.65" customHeight="1">
      <c r="A74" s="11" t="s">
        <v>16</v>
      </c>
      <c r="B74" s="13">
        <f>AF74</f>
        <v>0</v>
      </c>
      <c r="C74" s="13">
        <f>AG74</f>
        <v>0</v>
      </c>
      <c r="AC74" s="36" t="str">
        <f t="shared" si="0"/>
        <v/>
      </c>
      <c r="AD74" s="36" t="str">
        <f t="shared" si="0"/>
        <v/>
      </c>
      <c r="AF74" s="39">
        <f>SUM(AF64:AF73)</f>
        <v>0</v>
      </c>
      <c r="AG74" s="39">
        <f>SUM(AG64:AG73)</f>
        <v>0</v>
      </c>
    </row>
    <row r="75" spans="1:33" ht="16" customHeight="1">
      <c r="A75" s="1" t="s">
        <v>4</v>
      </c>
    </row>
    <row r="76" spans="1:33" ht="41.5" customHeight="1">
      <c r="A76" s="45"/>
      <c r="B76" s="46"/>
      <c r="C76" s="46"/>
      <c r="D76" s="47"/>
      <c r="AF76" s="39">
        <f>SUM(AF26,AF38,AF50,AF62,AF74)</f>
        <v>0</v>
      </c>
      <c r="AG76" s="39">
        <f>SUM(AG26,AG38,AG50,AG62,AG74)</f>
        <v>0</v>
      </c>
    </row>
    <row r="77" spans="1:33" ht="21.65" customHeight="1">
      <c r="A77" s="40" t="s">
        <v>5</v>
      </c>
    </row>
    <row r="78" spans="1:33" ht="41.5" customHeight="1">
      <c r="A78" s="45"/>
      <c r="B78" s="46"/>
      <c r="C78" s="46"/>
      <c r="D78" s="47"/>
    </row>
    <row r="79" spans="1:33" ht="21.65" customHeight="1">
      <c r="A79" s="40" t="s">
        <v>6</v>
      </c>
    </row>
    <row r="80" spans="1:33" ht="41.5" customHeight="1">
      <c r="A80" s="45"/>
      <c r="B80" s="46"/>
      <c r="C80" s="46"/>
      <c r="D80" s="47"/>
    </row>
    <row r="82" spans="1:5">
      <c r="A82" s="14" t="s">
        <v>13</v>
      </c>
      <c r="B82" s="14" t="s">
        <v>14</v>
      </c>
    </row>
    <row r="84" spans="1:5" ht="14">
      <c r="A84" s="41" t="s">
        <v>64</v>
      </c>
      <c r="B84" s="16"/>
      <c r="C84" s="41"/>
      <c r="D84" s="43" t="s">
        <v>57</v>
      </c>
      <c r="E84" s="43"/>
    </row>
    <row r="85" spans="1:5">
      <c r="A85" s="42" t="s">
        <v>17</v>
      </c>
      <c r="C85" s="42"/>
      <c r="D85" s="44" t="s">
        <v>58</v>
      </c>
      <c r="E85" s="44"/>
    </row>
    <row r="86" spans="1:5">
      <c r="D86" s="40"/>
      <c r="E86" s="4"/>
    </row>
    <row r="87" spans="1:5">
      <c r="D87" s="40"/>
      <c r="E87" s="4"/>
    </row>
    <row r="88" spans="1:5" ht="14">
      <c r="D88" s="43" t="s">
        <v>60</v>
      </c>
      <c r="E88" s="43"/>
    </row>
    <row r="89" spans="1:5">
      <c r="D89" s="44" t="s">
        <v>59</v>
      </c>
      <c r="E89" s="44"/>
    </row>
  </sheetData>
  <sheetProtection algorithmName="SHA-512" hashValue="KRG1ujBjykvS43p0xqeUeW2pizHNTEDFCCBoxL+reUYbUDRfUCqUwBfIxRsIuhsUP1mwhopr8DSBgvhOJWhfcQ==" saltValue="5hnqib15ebIQK0beRJnrOg==" spinCount="100000" sheet="1" formatCells="0" formatColumns="0" formatRows="0"/>
  <mergeCells count="15">
    <mergeCell ref="D85:E85"/>
    <mergeCell ref="D88:E88"/>
    <mergeCell ref="D89:E89"/>
    <mergeCell ref="B12:D12"/>
    <mergeCell ref="B13:D13"/>
    <mergeCell ref="A76:D76"/>
    <mergeCell ref="A78:D78"/>
    <mergeCell ref="A80:D80"/>
    <mergeCell ref="D84:E84"/>
    <mergeCell ref="A5:D5"/>
    <mergeCell ref="A6:D6"/>
    <mergeCell ref="A7:D7"/>
    <mergeCell ref="A8:D8"/>
    <mergeCell ref="A10:D10"/>
    <mergeCell ref="B11:D11"/>
  </mergeCells>
  <conditionalFormatting sqref="B16:C16">
    <cfRule type="expression" dxfId="146" priority="49">
      <formula>$AE$16&gt;1</formula>
    </cfRule>
  </conditionalFormatting>
  <conditionalFormatting sqref="B17:C17">
    <cfRule type="expression" dxfId="145" priority="48">
      <formula>$AE$17&gt;1</formula>
    </cfRule>
  </conditionalFormatting>
  <conditionalFormatting sqref="B18:C18">
    <cfRule type="expression" dxfId="144" priority="15">
      <formula>$AE$18&gt;1</formula>
    </cfRule>
  </conditionalFormatting>
  <conditionalFormatting sqref="B19:C19">
    <cfRule type="expression" dxfId="143" priority="46">
      <formula>$AE$19&gt;1</formula>
    </cfRule>
  </conditionalFormatting>
  <conditionalFormatting sqref="B20:C20">
    <cfRule type="expression" dxfId="142" priority="47">
      <formula>$AE$20&gt;1</formula>
    </cfRule>
  </conditionalFormatting>
  <conditionalFormatting sqref="B21:C21">
    <cfRule type="expression" dxfId="141" priority="45">
      <formula>$AE$21&gt;1</formula>
    </cfRule>
  </conditionalFormatting>
  <conditionalFormatting sqref="B22:C22">
    <cfRule type="expression" dxfId="140" priority="44">
      <formula>$AE$22&gt;1</formula>
    </cfRule>
  </conditionalFormatting>
  <conditionalFormatting sqref="B23:C23">
    <cfRule type="expression" dxfId="139" priority="14">
      <formula>$AE$23&gt;1</formula>
    </cfRule>
  </conditionalFormatting>
  <conditionalFormatting sqref="B24:C24">
    <cfRule type="expression" dxfId="138" priority="43">
      <formula>$AE$24&gt;1</formula>
    </cfRule>
  </conditionalFormatting>
  <conditionalFormatting sqref="B25:C25">
    <cfRule type="expression" dxfId="137" priority="42">
      <formula>$AE$25&gt;1</formula>
    </cfRule>
  </conditionalFormatting>
  <conditionalFormatting sqref="B28:C28">
    <cfRule type="expression" dxfId="136" priority="41">
      <formula>$AE$28&gt;1</formula>
    </cfRule>
  </conditionalFormatting>
  <conditionalFormatting sqref="B29:C29">
    <cfRule type="expression" dxfId="135" priority="40">
      <formula>$AE$29&gt;1</formula>
    </cfRule>
  </conditionalFormatting>
  <conditionalFormatting sqref="B30:C30">
    <cfRule type="expression" dxfId="134" priority="39">
      <formula>$AE$30&gt;1</formula>
    </cfRule>
  </conditionalFormatting>
  <conditionalFormatting sqref="B31:C31">
    <cfRule type="expression" dxfId="133" priority="13">
      <formula>$AE$31&gt;1</formula>
    </cfRule>
  </conditionalFormatting>
  <conditionalFormatting sqref="B32:C32">
    <cfRule type="expression" dxfId="132" priority="38">
      <formula>$AE$32&gt;1</formula>
    </cfRule>
  </conditionalFormatting>
  <conditionalFormatting sqref="B33:C33">
    <cfRule type="expression" dxfId="131" priority="37">
      <formula>$AE$33&gt;1</formula>
    </cfRule>
  </conditionalFormatting>
  <conditionalFormatting sqref="B34:C34">
    <cfRule type="expression" dxfId="130" priority="36">
      <formula>$AE$34&gt;1</formula>
    </cfRule>
  </conditionalFormatting>
  <conditionalFormatting sqref="B35:C35">
    <cfRule type="expression" dxfId="129" priority="12">
      <formula>$AE$35&gt;1</formula>
    </cfRule>
  </conditionalFormatting>
  <conditionalFormatting sqref="B36:C36">
    <cfRule type="expression" dxfId="128" priority="35">
      <formula>$AE$36&gt;1</formula>
    </cfRule>
  </conditionalFormatting>
  <conditionalFormatting sqref="B37:C37">
    <cfRule type="expression" dxfId="127" priority="34">
      <formula>$AE$37&gt;1</formula>
    </cfRule>
  </conditionalFormatting>
  <conditionalFormatting sqref="B40:C40">
    <cfRule type="expression" dxfId="126" priority="33">
      <formula>$AE$40&gt;1</formula>
    </cfRule>
  </conditionalFormatting>
  <conditionalFormatting sqref="B41:C41">
    <cfRule type="expression" dxfId="125" priority="32">
      <formula>$AE$41&gt;1</formula>
    </cfRule>
  </conditionalFormatting>
  <conditionalFormatting sqref="B42:C42">
    <cfRule type="expression" dxfId="124" priority="31">
      <formula>$AE$42&gt;1</formula>
    </cfRule>
  </conditionalFormatting>
  <conditionalFormatting sqref="B43:C43">
    <cfRule type="expression" dxfId="123" priority="11">
      <formula>$AE$43&gt;1</formula>
    </cfRule>
  </conditionalFormatting>
  <conditionalFormatting sqref="B44:C44">
    <cfRule type="expression" dxfId="122" priority="30">
      <formula>$AE$44&gt;1</formula>
    </cfRule>
  </conditionalFormatting>
  <conditionalFormatting sqref="B45:C45">
    <cfRule type="expression" dxfId="121" priority="29">
      <formula>$AE$45&gt;1</formula>
    </cfRule>
  </conditionalFormatting>
  <conditionalFormatting sqref="B46:C46">
    <cfRule type="expression" dxfId="120" priority="28">
      <formula>$AE$46&gt;1</formula>
    </cfRule>
  </conditionalFormatting>
  <conditionalFormatting sqref="B47:C47">
    <cfRule type="expression" dxfId="119" priority="27">
      <formula>$AE$47&gt;1</formula>
    </cfRule>
  </conditionalFormatting>
  <conditionalFormatting sqref="B48:C48">
    <cfRule type="expression" dxfId="118" priority="26">
      <formula>$AE$48&gt;1</formula>
    </cfRule>
  </conditionalFormatting>
  <conditionalFormatting sqref="B49:C49">
    <cfRule type="expression" dxfId="117" priority="25">
      <formula>$AE$49&gt;1</formula>
    </cfRule>
  </conditionalFormatting>
  <conditionalFormatting sqref="B52:C52">
    <cfRule type="expression" dxfId="116" priority="19">
      <formula>$AE$52&gt;1</formula>
    </cfRule>
  </conditionalFormatting>
  <conditionalFormatting sqref="B53:C53">
    <cfRule type="expression" dxfId="115" priority="18">
      <formula>$AE$53&gt;1</formula>
    </cfRule>
  </conditionalFormatting>
  <conditionalFormatting sqref="B54:C54">
    <cfRule type="expression" dxfId="114" priority="17">
      <formula>$AE$54&gt;1</formula>
    </cfRule>
  </conditionalFormatting>
  <conditionalFormatting sqref="B55:C55">
    <cfRule type="expression" dxfId="113" priority="10">
      <formula>$AE$55&gt;1</formula>
    </cfRule>
  </conditionalFormatting>
  <conditionalFormatting sqref="B56:C56">
    <cfRule type="expression" dxfId="112" priority="16">
      <formula>$AE$56&gt;1</formula>
    </cfRule>
  </conditionalFormatting>
  <conditionalFormatting sqref="B57:C57">
    <cfRule type="expression" dxfId="111" priority="24">
      <formula>$AE$57&gt;1</formula>
    </cfRule>
  </conditionalFormatting>
  <conditionalFormatting sqref="B58:C58">
    <cfRule type="expression" dxfId="110" priority="23">
      <formula>$AE$58&gt;1</formula>
    </cfRule>
  </conditionalFormatting>
  <conditionalFormatting sqref="B59:C59">
    <cfRule type="expression" dxfId="109" priority="22">
      <formula>$AE$59&gt;1</formula>
    </cfRule>
  </conditionalFormatting>
  <conditionalFormatting sqref="B60:C60">
    <cfRule type="expression" dxfId="108" priority="21">
      <formula>$AE$60&gt;1</formula>
    </cfRule>
  </conditionalFormatting>
  <conditionalFormatting sqref="B61:C61 B73:C73">
    <cfRule type="expression" dxfId="107" priority="20">
      <formula>$AE$73&gt;1</formula>
    </cfRule>
  </conditionalFormatting>
  <conditionalFormatting sqref="B64:C64">
    <cfRule type="expression" dxfId="106" priority="5">
      <formula>$AE$64&gt;1</formula>
    </cfRule>
  </conditionalFormatting>
  <conditionalFormatting sqref="B65:C65">
    <cfRule type="expression" dxfId="105" priority="4">
      <formula>$AE$65&gt;1</formula>
    </cfRule>
  </conditionalFormatting>
  <conditionalFormatting sqref="B66:C66">
    <cfRule type="expression" dxfId="104" priority="3">
      <formula>$AE$66&gt;1</formula>
    </cfRule>
  </conditionalFormatting>
  <conditionalFormatting sqref="B67:C67">
    <cfRule type="expression" dxfId="103" priority="1">
      <formula>$AE$67&gt;1</formula>
    </cfRule>
  </conditionalFormatting>
  <conditionalFormatting sqref="B68:C68">
    <cfRule type="expression" dxfId="102" priority="2">
      <formula>$AE$68&gt;1</formula>
    </cfRule>
  </conditionalFormatting>
  <conditionalFormatting sqref="B69:C69">
    <cfRule type="expression" dxfId="101" priority="9">
      <formula>$AE$69&gt;1</formula>
    </cfRule>
  </conditionalFormatting>
  <conditionalFormatting sqref="B70:C70">
    <cfRule type="expression" dxfId="100" priority="8">
      <formula>$AE$70&gt;1</formula>
    </cfRule>
  </conditionalFormatting>
  <conditionalFormatting sqref="B71:C71">
    <cfRule type="expression" dxfId="99" priority="7">
      <formula>$AE$71&gt;1</formula>
    </cfRule>
  </conditionalFormatting>
  <conditionalFormatting sqref="B72:C72">
    <cfRule type="expression" dxfId="98" priority="6">
      <formula>$AE$72&gt;1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317500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69850</xdr:rowOff>
                  </from>
                  <to>
                    <xdr:col>1</xdr:col>
                    <xdr:colOff>298450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21</xdr:row>
                    <xdr:rowOff>69850</xdr:rowOff>
                  </from>
                  <to>
                    <xdr:col>1</xdr:col>
                    <xdr:colOff>279400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323850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298450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27</xdr:row>
                    <xdr:rowOff>69850</xdr:rowOff>
                  </from>
                  <to>
                    <xdr:col>1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69850</xdr:rowOff>
                  </from>
                  <to>
                    <xdr:col>1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69850</xdr:rowOff>
                  </from>
                  <to>
                    <xdr:col>1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41</xdr:row>
                    <xdr:rowOff>69850</xdr:rowOff>
                  </from>
                  <to>
                    <xdr:col>1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48</xdr:row>
                    <xdr:rowOff>69850</xdr:rowOff>
                  </from>
                  <to>
                    <xdr:col>1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55</xdr:row>
                    <xdr:rowOff>69850</xdr:rowOff>
                  </from>
                  <to>
                    <xdr:col>1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56</xdr:row>
                    <xdr:rowOff>69850</xdr:rowOff>
                  </from>
                  <to>
                    <xdr:col>1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323850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323850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69850</xdr:rowOff>
                  </from>
                  <to>
                    <xdr:col>2</xdr:col>
                    <xdr:colOff>323850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69850</xdr:rowOff>
                  </from>
                  <to>
                    <xdr:col>2</xdr:col>
                    <xdr:colOff>323850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323850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323850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69850</xdr:rowOff>
                  </from>
                  <to>
                    <xdr:col>2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69850</xdr:rowOff>
                  </from>
                  <to>
                    <xdr:col>2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69850</xdr:rowOff>
                  </from>
                  <to>
                    <xdr:col>2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69850</xdr:rowOff>
                  </from>
                  <to>
                    <xdr:col>2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69850</xdr:rowOff>
                  </from>
                  <to>
                    <xdr:col>2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69850</xdr:rowOff>
                  </from>
                  <to>
                    <xdr:col>2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69850</xdr:rowOff>
                  </from>
                  <to>
                    <xdr:col>2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323850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317500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323850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323850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323850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35</xdr:row>
                    <xdr:rowOff>69850</xdr:rowOff>
                  </from>
                  <to>
                    <xdr:col>1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69850</xdr:rowOff>
                  </from>
                  <to>
                    <xdr:col>2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69850</xdr:rowOff>
                  </from>
                  <to>
                    <xdr:col>1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69850</xdr:rowOff>
                  </from>
                  <to>
                    <xdr:col>2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63</xdr:row>
                    <xdr:rowOff>69850</xdr:rowOff>
                  </from>
                  <to>
                    <xdr:col>1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9" name="Check Box 86">
              <controlPr defaultSize="0" autoFill="0" autoLine="0" autoPict="0">
                <anchor moveWithCells="1">
                  <from>
                    <xdr:col>1</xdr:col>
                    <xdr:colOff>114300</xdr:colOff>
                    <xdr:row>69</xdr:row>
                    <xdr:rowOff>69850</xdr:rowOff>
                  </from>
                  <to>
                    <xdr:col>1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70</xdr:row>
                    <xdr:rowOff>69850</xdr:rowOff>
                  </from>
                  <to>
                    <xdr:col>1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1" name="Check Box 88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63</xdr:row>
                    <xdr:rowOff>69850</xdr:rowOff>
                  </from>
                  <to>
                    <xdr:col>2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9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9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9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9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69</xdr:row>
                    <xdr:rowOff>69850</xdr:rowOff>
                  </from>
                  <to>
                    <xdr:col>2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70</xdr:row>
                    <xdr:rowOff>69850</xdr:rowOff>
                  </from>
                  <to>
                    <xdr:col>2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102" name="Check Box 99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EE7A-ADA2-4CE3-88F5-EA0C1F9FB31B}">
  <dimension ref="A5:AH89"/>
  <sheetViews>
    <sheetView showGridLines="0" topLeftCell="A73" zoomScale="115" zoomScaleNormal="115" workbookViewId="0">
      <selection activeCell="B21" sqref="B21"/>
    </sheetView>
  </sheetViews>
  <sheetFormatPr defaultColWidth="9.296875" defaultRowHeight="13"/>
  <cols>
    <col min="1" max="1" width="54.69921875" style="40" customWidth="1"/>
    <col min="2" max="3" width="6.796875" style="40" customWidth="1"/>
    <col min="4" max="4" width="44.796875" style="4" customWidth="1"/>
    <col min="5" max="5" width="9.296875" style="40"/>
    <col min="6" max="25" width="9.296875" style="40" customWidth="1"/>
    <col min="26" max="26" width="9.296875" style="40"/>
    <col min="27" max="28" width="9.296875" style="35"/>
    <col min="29" max="30" width="4.19921875" style="36" customWidth="1"/>
    <col min="31" max="31" width="3.296875" style="36" customWidth="1"/>
    <col min="32" max="33" width="9.296875" style="36"/>
    <col min="34" max="34" width="9.296875" style="37"/>
    <col min="35" max="16384" width="9.296875" style="40"/>
  </cols>
  <sheetData>
    <row r="5" spans="1:33" ht="13" customHeight="1">
      <c r="A5" s="48" t="s">
        <v>10</v>
      </c>
      <c r="B5" s="48"/>
      <c r="C5" s="48"/>
      <c r="D5" s="48"/>
    </row>
    <row r="6" spans="1:33" ht="13" customHeight="1">
      <c r="A6" s="49" t="s">
        <v>11</v>
      </c>
      <c r="B6" s="49"/>
      <c r="C6" s="49"/>
      <c r="D6" s="49"/>
    </row>
    <row r="7" spans="1:33">
      <c r="A7" s="50"/>
      <c r="B7" s="50"/>
      <c r="C7" s="50"/>
      <c r="D7" s="50"/>
    </row>
    <row r="8" spans="1:33" ht="13" customHeight="1" thickBot="1">
      <c r="A8" s="51" t="s">
        <v>12</v>
      </c>
      <c r="B8" s="51"/>
      <c r="C8" s="51"/>
      <c r="D8" s="51"/>
    </row>
    <row r="9" spans="1:33" ht="7" customHeight="1" thickTop="1">
      <c r="A9" s="13"/>
      <c r="B9" s="13"/>
      <c r="C9" s="13"/>
      <c r="D9" s="13"/>
    </row>
    <row r="10" spans="1:33" ht="32.5" customHeight="1">
      <c r="A10" s="52" t="s">
        <v>18</v>
      </c>
      <c r="B10" s="53"/>
      <c r="C10" s="53"/>
      <c r="D10" s="53"/>
    </row>
    <row r="11" spans="1:33">
      <c r="A11" s="3" t="s">
        <v>7</v>
      </c>
      <c r="B11" s="54"/>
      <c r="C11" s="55"/>
      <c r="D11" s="55"/>
    </row>
    <row r="12" spans="1:33">
      <c r="A12" s="12" t="s">
        <v>8</v>
      </c>
      <c r="B12" s="54" t="s">
        <v>62</v>
      </c>
      <c r="C12" s="55"/>
      <c r="D12" s="55"/>
    </row>
    <row r="13" spans="1:33">
      <c r="A13" s="12" t="s">
        <v>9</v>
      </c>
      <c r="B13" s="54" t="s">
        <v>63</v>
      </c>
      <c r="C13" s="55"/>
      <c r="D13" s="55"/>
    </row>
    <row r="14" spans="1:33" ht="22.5" customHeight="1" thickBot="1">
      <c r="A14" s="25" t="s">
        <v>19</v>
      </c>
    </row>
    <row r="15" spans="1:33" ht="13.5" thickBot="1">
      <c r="A15" s="7" t="s">
        <v>0</v>
      </c>
      <c r="B15" s="8" t="s">
        <v>1</v>
      </c>
      <c r="C15" s="8" t="s">
        <v>2</v>
      </c>
      <c r="D15" s="9" t="s">
        <v>3</v>
      </c>
    </row>
    <row r="16" spans="1:33" ht="25" customHeight="1">
      <c r="A16" s="34" t="s">
        <v>20</v>
      </c>
      <c r="B16" s="6"/>
      <c r="C16" s="6"/>
      <c r="D16" s="18"/>
      <c r="AA16" s="35" t="b">
        <v>0</v>
      </c>
      <c r="AB16" s="35" t="b">
        <v>0</v>
      </c>
      <c r="AC16" s="36">
        <f>IF(AA16="","",IF(AA16=TRUE,1,0))</f>
        <v>0</v>
      </c>
      <c r="AD16" s="36">
        <f>IF(AB16="","",IF(AB16=TRUE,1,0))</f>
        <v>0</v>
      </c>
      <c r="AE16" s="36">
        <f>SUM(AC16:AD16)</f>
        <v>0</v>
      </c>
      <c r="AF16" s="38">
        <f>IF(AE16=1,AC16,0)</f>
        <v>0</v>
      </c>
      <c r="AG16" s="38">
        <f>IF(AE16=1,AD16,0)</f>
        <v>0</v>
      </c>
    </row>
    <row r="17" spans="1:33" ht="25" customHeight="1">
      <c r="A17" s="34" t="s">
        <v>21</v>
      </c>
      <c r="B17" s="2"/>
      <c r="C17" s="2"/>
      <c r="D17" s="19"/>
      <c r="AA17" s="35" t="b">
        <v>0</v>
      </c>
      <c r="AB17" s="35" t="b">
        <v>0</v>
      </c>
      <c r="AC17" s="36">
        <f t="shared" ref="AC17:AD74" si="0">IF(AA17="","",IF(AA17=TRUE,1,0))</f>
        <v>0</v>
      </c>
      <c r="AD17" s="36">
        <f t="shared" si="0"/>
        <v>0</v>
      </c>
      <c r="AE17" s="36">
        <f t="shared" ref="AE17:AE61" si="1">SUM(AC17:AD17)</f>
        <v>0</v>
      </c>
      <c r="AF17" s="38">
        <f t="shared" ref="AF17:AF61" si="2">IF(AE17=1,AC17,0)</f>
        <v>0</v>
      </c>
      <c r="AG17" s="38">
        <f t="shared" ref="AG17:AG61" si="3">IF(AE17=1,AD17,0)</f>
        <v>0</v>
      </c>
    </row>
    <row r="18" spans="1:33" ht="25" customHeight="1">
      <c r="A18" s="34" t="s">
        <v>22</v>
      </c>
      <c r="B18" s="2"/>
      <c r="C18" s="2"/>
      <c r="D18" s="19"/>
      <c r="AA18" s="35" t="b">
        <v>0</v>
      </c>
      <c r="AB18" s="35" t="b">
        <v>0</v>
      </c>
      <c r="AC18" s="36">
        <f t="shared" si="0"/>
        <v>0</v>
      </c>
      <c r="AD18" s="36">
        <f t="shared" si="0"/>
        <v>0</v>
      </c>
      <c r="AE18" s="36">
        <f t="shared" si="1"/>
        <v>0</v>
      </c>
      <c r="AF18" s="38">
        <f t="shared" si="2"/>
        <v>0</v>
      </c>
      <c r="AG18" s="38">
        <f t="shared" si="3"/>
        <v>0</v>
      </c>
    </row>
    <row r="19" spans="1:33" ht="25" customHeight="1">
      <c r="A19" s="34" t="s">
        <v>23</v>
      </c>
      <c r="B19" s="2"/>
      <c r="C19" s="2"/>
      <c r="D19" s="23"/>
      <c r="AA19" s="35" t="b">
        <v>0</v>
      </c>
      <c r="AB19" s="35" t="b">
        <v>0</v>
      </c>
      <c r="AC19" s="36">
        <f t="shared" si="0"/>
        <v>0</v>
      </c>
      <c r="AD19" s="36">
        <f t="shared" si="0"/>
        <v>0</v>
      </c>
      <c r="AE19" s="36">
        <f t="shared" si="1"/>
        <v>0</v>
      </c>
      <c r="AF19" s="38">
        <f t="shared" si="2"/>
        <v>0</v>
      </c>
      <c r="AG19" s="38">
        <f t="shared" si="3"/>
        <v>0</v>
      </c>
    </row>
    <row r="20" spans="1:33" ht="25" customHeight="1">
      <c r="A20" s="34" t="s">
        <v>24</v>
      </c>
      <c r="B20" s="28"/>
      <c r="C20" s="28"/>
      <c r="D20" s="30"/>
      <c r="AA20" s="35" t="b">
        <v>0</v>
      </c>
      <c r="AB20" s="35" t="b">
        <v>0</v>
      </c>
      <c r="AC20" s="36">
        <f t="shared" si="0"/>
        <v>0</v>
      </c>
      <c r="AD20" s="36">
        <f t="shared" si="0"/>
        <v>0</v>
      </c>
      <c r="AE20" s="36">
        <f t="shared" si="1"/>
        <v>0</v>
      </c>
      <c r="AF20" s="38">
        <f t="shared" si="2"/>
        <v>0</v>
      </c>
      <c r="AG20" s="38">
        <f t="shared" si="3"/>
        <v>0</v>
      </c>
    </row>
    <row r="21" spans="1:33" ht="24" customHeight="1">
      <c r="A21" s="34" t="s">
        <v>25</v>
      </c>
      <c r="B21" s="6"/>
      <c r="C21" s="6"/>
      <c r="D21" s="20"/>
      <c r="AA21" s="35" t="b">
        <v>0</v>
      </c>
      <c r="AB21" s="35" t="b">
        <v>0</v>
      </c>
      <c r="AC21" s="36">
        <f t="shared" si="0"/>
        <v>0</v>
      </c>
      <c r="AD21" s="36">
        <f t="shared" si="0"/>
        <v>0</v>
      </c>
      <c r="AE21" s="36">
        <f t="shared" si="1"/>
        <v>0</v>
      </c>
      <c r="AF21" s="38">
        <f t="shared" si="2"/>
        <v>0</v>
      </c>
      <c r="AG21" s="38">
        <f t="shared" si="3"/>
        <v>0</v>
      </c>
    </row>
    <row r="22" spans="1:33" ht="21.65" customHeight="1">
      <c r="A22" s="26"/>
      <c r="B22" s="2"/>
      <c r="C22" s="2"/>
      <c r="D22" s="21"/>
      <c r="AA22" s="35" t="b">
        <v>0</v>
      </c>
      <c r="AB22" s="35" t="b">
        <v>0</v>
      </c>
      <c r="AC22" s="36">
        <f t="shared" si="0"/>
        <v>0</v>
      </c>
      <c r="AD22" s="36">
        <f t="shared" si="0"/>
        <v>0</v>
      </c>
      <c r="AE22" s="36">
        <f t="shared" si="1"/>
        <v>0</v>
      </c>
      <c r="AF22" s="38">
        <f t="shared" si="2"/>
        <v>0</v>
      </c>
      <c r="AG22" s="38">
        <f t="shared" si="3"/>
        <v>0</v>
      </c>
    </row>
    <row r="23" spans="1:33" ht="21.65" customHeight="1">
      <c r="A23" s="26"/>
      <c r="B23" s="2"/>
      <c r="C23" s="2"/>
      <c r="D23" s="21"/>
      <c r="AA23" s="35" t="b">
        <v>0</v>
      </c>
      <c r="AB23" s="35" t="b">
        <v>0</v>
      </c>
      <c r="AC23" s="36">
        <f t="shared" si="0"/>
        <v>0</v>
      </c>
      <c r="AD23" s="36">
        <f t="shared" si="0"/>
        <v>0</v>
      </c>
      <c r="AE23" s="36">
        <f t="shared" si="1"/>
        <v>0</v>
      </c>
      <c r="AF23" s="38">
        <f t="shared" si="2"/>
        <v>0</v>
      </c>
      <c r="AG23" s="38">
        <f t="shared" si="3"/>
        <v>0</v>
      </c>
    </row>
    <row r="24" spans="1:33" ht="21.65" customHeight="1">
      <c r="A24" s="26"/>
      <c r="B24" s="2"/>
      <c r="C24" s="2"/>
      <c r="D24" s="24"/>
      <c r="AA24" s="35" t="b">
        <v>0</v>
      </c>
      <c r="AB24" s="35" t="b">
        <v>0</v>
      </c>
      <c r="AC24" s="36">
        <f t="shared" si="0"/>
        <v>0</v>
      </c>
      <c r="AD24" s="36">
        <f t="shared" si="0"/>
        <v>0</v>
      </c>
      <c r="AE24" s="36">
        <f t="shared" si="1"/>
        <v>0</v>
      </c>
      <c r="AF24" s="38">
        <f t="shared" si="2"/>
        <v>0</v>
      </c>
      <c r="AG24" s="38">
        <f t="shared" si="3"/>
        <v>0</v>
      </c>
    </row>
    <row r="25" spans="1:33" ht="21.65" customHeight="1" thickBot="1">
      <c r="A25" s="32"/>
      <c r="B25" s="5"/>
      <c r="C25" s="5"/>
      <c r="D25" s="22"/>
      <c r="AA25" s="35" t="b">
        <v>0</v>
      </c>
      <c r="AB25" s="35" t="b">
        <v>0</v>
      </c>
      <c r="AC25" s="36">
        <f t="shared" si="0"/>
        <v>0</v>
      </c>
      <c r="AD25" s="36">
        <f t="shared" si="0"/>
        <v>0</v>
      </c>
      <c r="AE25" s="36">
        <f t="shared" si="1"/>
        <v>0</v>
      </c>
      <c r="AF25" s="38">
        <f t="shared" si="2"/>
        <v>0</v>
      </c>
      <c r="AG25" s="38">
        <f t="shared" si="3"/>
        <v>0</v>
      </c>
    </row>
    <row r="26" spans="1:33" ht="21.65" customHeight="1" thickBot="1">
      <c r="A26" s="27" t="s">
        <v>26</v>
      </c>
      <c r="B26" s="13">
        <f>AF26</f>
        <v>0</v>
      </c>
      <c r="C26" s="13">
        <f>AG26</f>
        <v>0</v>
      </c>
      <c r="AC26" s="36" t="str">
        <f t="shared" si="0"/>
        <v/>
      </c>
      <c r="AD26" s="36" t="str">
        <f t="shared" si="0"/>
        <v/>
      </c>
      <c r="AF26" s="39">
        <f>SUM(AF16:AF25)</f>
        <v>0</v>
      </c>
      <c r="AG26" s="39">
        <f>SUM(AG16:AG25)</f>
        <v>0</v>
      </c>
    </row>
    <row r="27" spans="1:33" ht="21.65" customHeight="1" thickBot="1">
      <c r="A27" s="7" t="s">
        <v>0</v>
      </c>
      <c r="B27" s="8" t="s">
        <v>1</v>
      </c>
      <c r="C27" s="10" t="s">
        <v>2</v>
      </c>
      <c r="D27" s="9" t="s">
        <v>3</v>
      </c>
      <c r="AC27" s="36" t="str">
        <f t="shared" si="0"/>
        <v/>
      </c>
      <c r="AD27" s="36" t="str">
        <f t="shared" si="0"/>
        <v/>
      </c>
      <c r="AF27" s="38"/>
      <c r="AG27" s="38"/>
    </row>
    <row r="28" spans="1:33" ht="24.75" customHeight="1">
      <c r="A28" s="34" t="s">
        <v>27</v>
      </c>
      <c r="B28" s="2"/>
      <c r="C28" s="2"/>
      <c r="D28" s="20"/>
      <c r="AA28" s="35" t="b">
        <v>0</v>
      </c>
      <c r="AB28" s="35" t="b">
        <v>0</v>
      </c>
      <c r="AC28" s="36">
        <f t="shared" si="0"/>
        <v>0</v>
      </c>
      <c r="AD28" s="36">
        <f t="shared" si="0"/>
        <v>0</v>
      </c>
      <c r="AE28" s="36">
        <f t="shared" si="1"/>
        <v>0</v>
      </c>
      <c r="AF28" s="38">
        <f t="shared" si="2"/>
        <v>0</v>
      </c>
      <c r="AG28" s="38">
        <f t="shared" si="3"/>
        <v>0</v>
      </c>
    </row>
    <row r="29" spans="1:33" ht="25.5" customHeight="1">
      <c r="A29" s="34" t="s">
        <v>28</v>
      </c>
      <c r="B29" s="2"/>
      <c r="C29" s="2"/>
      <c r="D29" s="21"/>
      <c r="AA29" s="35" t="b">
        <v>0</v>
      </c>
      <c r="AB29" s="35" t="b">
        <v>0</v>
      </c>
      <c r="AC29" s="36">
        <f t="shared" si="0"/>
        <v>0</v>
      </c>
      <c r="AD29" s="36">
        <f t="shared" si="0"/>
        <v>0</v>
      </c>
      <c r="AE29" s="36">
        <f t="shared" si="1"/>
        <v>0</v>
      </c>
      <c r="AF29" s="38">
        <f t="shared" si="2"/>
        <v>0</v>
      </c>
      <c r="AG29" s="38">
        <f t="shared" si="3"/>
        <v>0</v>
      </c>
    </row>
    <row r="30" spans="1:33" ht="25.5" customHeight="1">
      <c r="A30" s="34" t="s">
        <v>29</v>
      </c>
      <c r="B30" s="2"/>
      <c r="C30" s="2"/>
      <c r="D30" s="21"/>
      <c r="AA30" s="35" t="b">
        <v>0</v>
      </c>
      <c r="AB30" s="35" t="b">
        <v>0</v>
      </c>
      <c r="AC30" s="36">
        <f t="shared" si="0"/>
        <v>0</v>
      </c>
      <c r="AD30" s="36">
        <f t="shared" si="0"/>
        <v>0</v>
      </c>
      <c r="AE30" s="36">
        <f t="shared" si="1"/>
        <v>0</v>
      </c>
      <c r="AF30" s="38">
        <f t="shared" si="2"/>
        <v>0</v>
      </c>
      <c r="AG30" s="38">
        <f t="shared" si="3"/>
        <v>0</v>
      </c>
    </row>
    <row r="31" spans="1:33" ht="27" customHeight="1">
      <c r="A31" s="34" t="s">
        <v>30</v>
      </c>
      <c r="B31" s="2"/>
      <c r="C31" s="2"/>
      <c r="D31" s="24"/>
      <c r="AA31" s="35" t="b">
        <v>0</v>
      </c>
      <c r="AB31" s="35" t="b">
        <v>0</v>
      </c>
      <c r="AC31" s="36">
        <f t="shared" si="0"/>
        <v>0</v>
      </c>
      <c r="AD31" s="36">
        <f t="shared" si="0"/>
        <v>0</v>
      </c>
      <c r="AE31" s="36">
        <f t="shared" si="1"/>
        <v>0</v>
      </c>
      <c r="AF31" s="38">
        <f t="shared" si="2"/>
        <v>0</v>
      </c>
      <c r="AG31" s="38">
        <f t="shared" si="3"/>
        <v>0</v>
      </c>
    </row>
    <row r="32" spans="1:33" ht="24.75" customHeight="1">
      <c r="A32" s="34" t="s">
        <v>31</v>
      </c>
      <c r="B32" s="28"/>
      <c r="C32" s="28"/>
      <c r="D32" s="29"/>
      <c r="AA32" s="35" t="b">
        <v>0</v>
      </c>
      <c r="AB32" s="35" t="b">
        <v>0</v>
      </c>
      <c r="AC32" s="36">
        <f t="shared" si="0"/>
        <v>0</v>
      </c>
      <c r="AD32" s="36">
        <f t="shared" si="0"/>
        <v>0</v>
      </c>
      <c r="AE32" s="36">
        <f t="shared" si="1"/>
        <v>0</v>
      </c>
      <c r="AF32" s="38">
        <f t="shared" si="2"/>
        <v>0</v>
      </c>
      <c r="AG32" s="38">
        <f t="shared" si="3"/>
        <v>0</v>
      </c>
    </row>
    <row r="33" spans="1:33" ht="27" customHeight="1">
      <c r="A33" s="34" t="s">
        <v>32</v>
      </c>
      <c r="B33" s="6"/>
      <c r="C33" s="6"/>
      <c r="D33" s="20"/>
      <c r="AA33" s="35" t="b">
        <v>0</v>
      </c>
      <c r="AB33" s="35" t="b">
        <v>0</v>
      </c>
      <c r="AC33" s="36">
        <f t="shared" si="0"/>
        <v>0</v>
      </c>
      <c r="AD33" s="36">
        <f t="shared" si="0"/>
        <v>0</v>
      </c>
      <c r="AE33" s="36">
        <f t="shared" si="1"/>
        <v>0</v>
      </c>
      <c r="AF33" s="38">
        <f t="shared" si="2"/>
        <v>0</v>
      </c>
      <c r="AG33" s="38">
        <f t="shared" si="3"/>
        <v>0</v>
      </c>
    </row>
    <row r="34" spans="1:33" ht="26.25" customHeight="1">
      <c r="A34" s="34" t="s">
        <v>33</v>
      </c>
      <c r="B34" s="2"/>
      <c r="C34" s="2"/>
      <c r="D34" s="21"/>
      <c r="AA34" s="35" t="b">
        <v>0</v>
      </c>
      <c r="AB34" s="35" t="b">
        <v>0</v>
      </c>
      <c r="AC34" s="36">
        <f t="shared" si="0"/>
        <v>0</v>
      </c>
      <c r="AD34" s="36">
        <f t="shared" si="0"/>
        <v>0</v>
      </c>
      <c r="AE34" s="36">
        <f t="shared" si="1"/>
        <v>0</v>
      </c>
      <c r="AF34" s="38">
        <f t="shared" si="2"/>
        <v>0</v>
      </c>
      <c r="AG34" s="38">
        <f t="shared" si="3"/>
        <v>0</v>
      </c>
    </row>
    <row r="35" spans="1:33" ht="21.65" customHeight="1">
      <c r="A35" s="26"/>
      <c r="B35" s="2"/>
      <c r="C35" s="2"/>
      <c r="D35" s="21"/>
      <c r="AA35" s="35" t="b">
        <v>0</v>
      </c>
      <c r="AB35" s="35" t="b">
        <v>0</v>
      </c>
      <c r="AC35" s="36">
        <f t="shared" si="0"/>
        <v>0</v>
      </c>
      <c r="AD35" s="36">
        <f t="shared" si="0"/>
        <v>0</v>
      </c>
      <c r="AE35" s="36">
        <f t="shared" si="1"/>
        <v>0</v>
      </c>
      <c r="AF35" s="38">
        <f t="shared" si="2"/>
        <v>0</v>
      </c>
      <c r="AG35" s="38">
        <f t="shared" si="3"/>
        <v>0</v>
      </c>
    </row>
    <row r="36" spans="1:33" ht="21.65" customHeight="1">
      <c r="A36" s="26"/>
      <c r="B36" s="2"/>
      <c r="C36" s="2"/>
      <c r="D36" s="24"/>
      <c r="AA36" s="35" t="b">
        <v>0</v>
      </c>
      <c r="AB36" s="35" t="b">
        <v>0</v>
      </c>
      <c r="AC36" s="36">
        <f t="shared" si="0"/>
        <v>0</v>
      </c>
      <c r="AD36" s="36">
        <f t="shared" si="0"/>
        <v>0</v>
      </c>
      <c r="AE36" s="36">
        <f t="shared" si="1"/>
        <v>0</v>
      </c>
      <c r="AF36" s="38">
        <f t="shared" si="2"/>
        <v>0</v>
      </c>
      <c r="AG36" s="38">
        <f t="shared" si="3"/>
        <v>0</v>
      </c>
    </row>
    <row r="37" spans="1:33" ht="21.65" customHeight="1" thickBot="1">
      <c r="A37" s="32"/>
      <c r="B37" s="5"/>
      <c r="C37" s="5"/>
      <c r="D37" s="22"/>
      <c r="AA37" s="35" t="b">
        <v>0</v>
      </c>
      <c r="AB37" s="35" t="b">
        <v>0</v>
      </c>
      <c r="AC37" s="36">
        <f t="shared" si="0"/>
        <v>0</v>
      </c>
      <c r="AD37" s="36">
        <f t="shared" si="0"/>
        <v>0</v>
      </c>
      <c r="AE37" s="36">
        <f t="shared" si="1"/>
        <v>0</v>
      </c>
      <c r="AF37" s="38">
        <f t="shared" si="2"/>
        <v>0</v>
      </c>
      <c r="AG37" s="38">
        <f t="shared" si="3"/>
        <v>0</v>
      </c>
    </row>
    <row r="38" spans="1:33" ht="21.65" customHeight="1" thickBot="1">
      <c r="A38" s="31" t="s">
        <v>34</v>
      </c>
      <c r="B38" s="13">
        <f>AF38</f>
        <v>0</v>
      </c>
      <c r="C38" s="13">
        <f>AG38</f>
        <v>0</v>
      </c>
      <c r="AC38" s="36" t="str">
        <f t="shared" si="0"/>
        <v/>
      </c>
      <c r="AD38" s="36" t="str">
        <f t="shared" si="0"/>
        <v/>
      </c>
      <c r="AF38" s="39">
        <f>SUM(AF28:AF37)</f>
        <v>0</v>
      </c>
      <c r="AG38" s="39">
        <f>SUM(AG28:AG37)</f>
        <v>0</v>
      </c>
    </row>
    <row r="39" spans="1:33" ht="21.65" customHeight="1" thickBot="1">
      <c r="A39" s="7" t="s">
        <v>0</v>
      </c>
      <c r="B39" s="8" t="s">
        <v>1</v>
      </c>
      <c r="C39" s="10" t="s">
        <v>2</v>
      </c>
      <c r="D39" s="9" t="s">
        <v>3</v>
      </c>
      <c r="AC39" s="36" t="str">
        <f t="shared" si="0"/>
        <v/>
      </c>
      <c r="AD39" s="36" t="str">
        <f t="shared" si="0"/>
        <v/>
      </c>
      <c r="AF39" s="38"/>
      <c r="AG39" s="38"/>
    </row>
    <row r="40" spans="1:33" ht="24" customHeight="1">
      <c r="A40" s="34" t="s">
        <v>35</v>
      </c>
      <c r="B40" s="2"/>
      <c r="C40" s="2"/>
      <c r="D40" s="20"/>
      <c r="AA40" s="35" t="b">
        <v>0</v>
      </c>
      <c r="AB40" s="35" t="b">
        <v>0</v>
      </c>
      <c r="AC40" s="36">
        <f t="shared" si="0"/>
        <v>0</v>
      </c>
      <c r="AD40" s="36">
        <f t="shared" si="0"/>
        <v>0</v>
      </c>
      <c r="AE40" s="36">
        <f t="shared" si="1"/>
        <v>0</v>
      </c>
      <c r="AF40" s="38">
        <f t="shared" si="2"/>
        <v>0</v>
      </c>
      <c r="AG40" s="38">
        <f t="shared" si="3"/>
        <v>0</v>
      </c>
    </row>
    <row r="41" spans="1:33" ht="24" customHeight="1">
      <c r="A41" s="34" t="s">
        <v>36</v>
      </c>
      <c r="B41" s="2"/>
      <c r="C41" s="2"/>
      <c r="D41" s="21"/>
      <c r="AA41" s="35" t="b">
        <v>0</v>
      </c>
      <c r="AB41" s="35" t="b">
        <v>0</v>
      </c>
      <c r="AC41" s="36">
        <f t="shared" si="0"/>
        <v>0</v>
      </c>
      <c r="AD41" s="36">
        <f t="shared" si="0"/>
        <v>0</v>
      </c>
      <c r="AE41" s="36">
        <f t="shared" si="1"/>
        <v>0</v>
      </c>
      <c r="AF41" s="38">
        <f t="shared" si="2"/>
        <v>0</v>
      </c>
      <c r="AG41" s="38">
        <f t="shared" si="3"/>
        <v>0</v>
      </c>
    </row>
    <row r="42" spans="1:33" ht="23.25" customHeight="1">
      <c r="A42" s="34" t="s">
        <v>37</v>
      </c>
      <c r="B42" s="2"/>
      <c r="C42" s="2"/>
      <c r="D42" s="21"/>
      <c r="AA42" s="35" t="b">
        <v>0</v>
      </c>
      <c r="AB42" s="35" t="b">
        <v>0</v>
      </c>
      <c r="AC42" s="36">
        <f t="shared" si="0"/>
        <v>0</v>
      </c>
      <c r="AD42" s="36">
        <f t="shared" si="0"/>
        <v>0</v>
      </c>
      <c r="AE42" s="36">
        <f t="shared" si="1"/>
        <v>0</v>
      </c>
      <c r="AF42" s="38">
        <f t="shared" si="2"/>
        <v>0</v>
      </c>
      <c r="AG42" s="38">
        <f t="shared" si="3"/>
        <v>0</v>
      </c>
    </row>
    <row r="43" spans="1:33" ht="24.75" customHeight="1">
      <c r="A43" s="34" t="s">
        <v>38</v>
      </c>
      <c r="B43" s="2"/>
      <c r="C43" s="2"/>
      <c r="D43" s="24"/>
      <c r="AA43" s="35" t="b">
        <v>0</v>
      </c>
      <c r="AB43" s="35" t="b">
        <v>0</v>
      </c>
      <c r="AC43" s="36">
        <f t="shared" si="0"/>
        <v>0</v>
      </c>
      <c r="AD43" s="36">
        <f t="shared" si="0"/>
        <v>0</v>
      </c>
      <c r="AE43" s="36">
        <f t="shared" si="1"/>
        <v>0</v>
      </c>
      <c r="AF43" s="38">
        <f t="shared" si="2"/>
        <v>0</v>
      </c>
      <c r="AG43" s="38">
        <f t="shared" si="3"/>
        <v>0</v>
      </c>
    </row>
    <row r="44" spans="1:33" ht="23.25" customHeight="1">
      <c r="A44" s="34" t="s">
        <v>39</v>
      </c>
      <c r="B44" s="28"/>
      <c r="C44" s="28"/>
      <c r="D44" s="29" t="s">
        <v>56</v>
      </c>
      <c r="AA44" s="35" t="b">
        <v>0</v>
      </c>
      <c r="AB44" s="35" t="b">
        <v>0</v>
      </c>
      <c r="AC44" s="36">
        <f t="shared" si="0"/>
        <v>0</v>
      </c>
      <c r="AD44" s="36">
        <f t="shared" si="0"/>
        <v>0</v>
      </c>
      <c r="AE44" s="36">
        <f t="shared" si="1"/>
        <v>0</v>
      </c>
      <c r="AF44" s="38">
        <f t="shared" si="2"/>
        <v>0</v>
      </c>
      <c r="AG44" s="38">
        <f t="shared" si="3"/>
        <v>0</v>
      </c>
    </row>
    <row r="45" spans="1:33" ht="24" customHeight="1">
      <c r="A45" s="34" t="s">
        <v>40</v>
      </c>
      <c r="B45" s="6"/>
      <c r="C45" s="6"/>
      <c r="D45" s="20"/>
      <c r="AA45" s="35" t="b">
        <v>0</v>
      </c>
      <c r="AB45" s="35" t="b">
        <v>0</v>
      </c>
      <c r="AC45" s="36">
        <f t="shared" si="0"/>
        <v>0</v>
      </c>
      <c r="AD45" s="36">
        <f t="shared" si="0"/>
        <v>0</v>
      </c>
      <c r="AE45" s="36">
        <f t="shared" si="1"/>
        <v>0</v>
      </c>
      <c r="AF45" s="38">
        <f t="shared" si="2"/>
        <v>0</v>
      </c>
      <c r="AG45" s="38">
        <f t="shared" si="3"/>
        <v>0</v>
      </c>
    </row>
    <row r="46" spans="1:33" ht="24" customHeight="1">
      <c r="A46" s="34" t="s">
        <v>41</v>
      </c>
      <c r="B46" s="2"/>
      <c r="C46" s="2"/>
      <c r="D46" s="21"/>
      <c r="AA46" s="35" t="b">
        <v>0</v>
      </c>
      <c r="AB46" s="35" t="b">
        <v>0</v>
      </c>
      <c r="AC46" s="36">
        <f t="shared" si="0"/>
        <v>0</v>
      </c>
      <c r="AD46" s="36">
        <f t="shared" si="0"/>
        <v>0</v>
      </c>
      <c r="AE46" s="36">
        <f t="shared" si="1"/>
        <v>0</v>
      </c>
      <c r="AF46" s="38">
        <f t="shared" si="2"/>
        <v>0</v>
      </c>
      <c r="AG46" s="38">
        <f t="shared" si="3"/>
        <v>0</v>
      </c>
    </row>
    <row r="47" spans="1:33" ht="21.65" customHeight="1">
      <c r="A47" s="26"/>
      <c r="B47" s="2"/>
      <c r="C47" s="2"/>
      <c r="D47" s="21"/>
      <c r="AA47" s="35" t="b">
        <v>0</v>
      </c>
      <c r="AB47" s="35" t="b">
        <v>0</v>
      </c>
      <c r="AC47" s="36">
        <f t="shared" si="0"/>
        <v>0</v>
      </c>
      <c r="AD47" s="36">
        <f t="shared" si="0"/>
        <v>0</v>
      </c>
      <c r="AE47" s="36">
        <f t="shared" si="1"/>
        <v>0</v>
      </c>
      <c r="AF47" s="38">
        <f t="shared" si="2"/>
        <v>0</v>
      </c>
      <c r="AG47" s="38">
        <f t="shared" si="3"/>
        <v>0</v>
      </c>
    </row>
    <row r="48" spans="1:33" ht="21.65" customHeight="1">
      <c r="A48" s="26"/>
      <c r="B48" s="2"/>
      <c r="C48" s="2"/>
      <c r="D48" s="21"/>
      <c r="AA48" s="35" t="b">
        <v>0</v>
      </c>
      <c r="AB48" s="35" t="b">
        <v>0</v>
      </c>
      <c r="AC48" s="36">
        <f t="shared" si="0"/>
        <v>0</v>
      </c>
      <c r="AD48" s="36">
        <f t="shared" si="0"/>
        <v>0</v>
      </c>
      <c r="AE48" s="36">
        <f t="shared" si="1"/>
        <v>0</v>
      </c>
      <c r="AF48" s="38">
        <f t="shared" si="2"/>
        <v>0</v>
      </c>
      <c r="AG48" s="38">
        <f t="shared" si="3"/>
        <v>0</v>
      </c>
    </row>
    <row r="49" spans="1:33" ht="21.65" customHeight="1" thickBot="1">
      <c r="A49" s="32"/>
      <c r="B49" s="5"/>
      <c r="C49" s="5"/>
      <c r="D49" s="22"/>
      <c r="AA49" s="35" t="b">
        <v>0</v>
      </c>
      <c r="AB49" s="35" t="b">
        <v>0</v>
      </c>
      <c r="AC49" s="36">
        <f t="shared" si="0"/>
        <v>0</v>
      </c>
      <c r="AD49" s="36">
        <f t="shared" si="0"/>
        <v>0</v>
      </c>
      <c r="AE49" s="36">
        <f t="shared" si="1"/>
        <v>0</v>
      </c>
      <c r="AF49" s="38">
        <f t="shared" si="2"/>
        <v>0</v>
      </c>
      <c r="AG49" s="38">
        <f t="shared" si="3"/>
        <v>0</v>
      </c>
    </row>
    <row r="50" spans="1:33" ht="21.65" customHeight="1" thickBot="1">
      <c r="A50" s="27" t="s">
        <v>42</v>
      </c>
      <c r="B50" s="13">
        <f>AF50</f>
        <v>0</v>
      </c>
      <c r="C50" s="13">
        <f>AG50</f>
        <v>0</v>
      </c>
      <c r="AC50" s="36" t="str">
        <f t="shared" si="0"/>
        <v/>
      </c>
      <c r="AD50" s="36" t="str">
        <f t="shared" si="0"/>
        <v/>
      </c>
      <c r="AF50" s="39">
        <f>SUM(AF40:AF49)</f>
        <v>0</v>
      </c>
      <c r="AG50" s="39">
        <f>SUM(AG40:AG49)</f>
        <v>0</v>
      </c>
    </row>
    <row r="51" spans="1:33" ht="21.65" customHeight="1" thickBot="1">
      <c r="A51" s="33" t="s">
        <v>15</v>
      </c>
      <c r="B51" s="8" t="s">
        <v>1</v>
      </c>
      <c r="C51" s="10" t="s">
        <v>2</v>
      </c>
      <c r="D51" s="9" t="s">
        <v>3</v>
      </c>
      <c r="AC51" s="36" t="str">
        <f t="shared" si="0"/>
        <v/>
      </c>
      <c r="AD51" s="36" t="str">
        <f t="shared" si="0"/>
        <v/>
      </c>
      <c r="AF51" s="38"/>
      <c r="AG51" s="38"/>
    </row>
    <row r="52" spans="1:33" ht="23.25" customHeight="1">
      <c r="A52" s="34" t="s">
        <v>43</v>
      </c>
      <c r="B52" s="6"/>
      <c r="C52" s="6"/>
      <c r="D52" s="20"/>
      <c r="AA52" s="35" t="b">
        <v>0</v>
      </c>
      <c r="AB52" s="35" t="b">
        <v>0</v>
      </c>
      <c r="AC52" s="36">
        <f t="shared" si="0"/>
        <v>0</v>
      </c>
      <c r="AD52" s="36">
        <f t="shared" si="0"/>
        <v>0</v>
      </c>
      <c r="AE52" s="36">
        <f t="shared" si="1"/>
        <v>0</v>
      </c>
      <c r="AF52" s="38">
        <f t="shared" si="2"/>
        <v>0</v>
      </c>
      <c r="AG52" s="38">
        <f t="shared" si="3"/>
        <v>0</v>
      </c>
    </row>
    <row r="53" spans="1:33" ht="21.65" customHeight="1">
      <c r="A53" s="34" t="s">
        <v>44</v>
      </c>
      <c r="B53" s="2"/>
      <c r="C53" s="2"/>
      <c r="D53" s="21"/>
      <c r="AA53" s="35" t="b">
        <v>0</v>
      </c>
      <c r="AB53" s="35" t="b">
        <v>0</v>
      </c>
      <c r="AC53" s="36">
        <f t="shared" si="0"/>
        <v>0</v>
      </c>
      <c r="AD53" s="36">
        <f t="shared" si="0"/>
        <v>0</v>
      </c>
      <c r="AE53" s="36">
        <f t="shared" si="1"/>
        <v>0</v>
      </c>
      <c r="AF53" s="38">
        <f t="shared" si="2"/>
        <v>0</v>
      </c>
      <c r="AG53" s="38">
        <f t="shared" si="3"/>
        <v>0</v>
      </c>
    </row>
    <row r="54" spans="1:33" ht="21.65" customHeight="1">
      <c r="A54" s="34" t="s">
        <v>45</v>
      </c>
      <c r="B54" s="2"/>
      <c r="C54" s="2"/>
      <c r="D54" s="21"/>
      <c r="AA54" s="35" t="b">
        <v>0</v>
      </c>
      <c r="AB54" s="35" t="b">
        <v>0</v>
      </c>
      <c r="AC54" s="36">
        <f t="shared" si="0"/>
        <v>0</v>
      </c>
      <c r="AD54" s="36">
        <f t="shared" si="0"/>
        <v>0</v>
      </c>
      <c r="AE54" s="36">
        <f t="shared" si="1"/>
        <v>0</v>
      </c>
      <c r="AF54" s="38">
        <f t="shared" si="2"/>
        <v>0</v>
      </c>
      <c r="AG54" s="38">
        <f t="shared" si="3"/>
        <v>0</v>
      </c>
    </row>
    <row r="55" spans="1:33" ht="24.75" customHeight="1">
      <c r="A55" s="34" t="s">
        <v>46</v>
      </c>
      <c r="B55" s="2"/>
      <c r="C55" s="2"/>
      <c r="D55" s="24"/>
      <c r="AA55" s="35" t="b">
        <v>0</v>
      </c>
      <c r="AB55" s="35" t="b">
        <v>0</v>
      </c>
      <c r="AC55" s="36">
        <f t="shared" si="0"/>
        <v>0</v>
      </c>
      <c r="AD55" s="36">
        <f t="shared" si="0"/>
        <v>0</v>
      </c>
      <c r="AE55" s="36">
        <f t="shared" si="1"/>
        <v>0</v>
      </c>
      <c r="AF55" s="38">
        <f t="shared" si="2"/>
        <v>0</v>
      </c>
      <c r="AG55" s="38">
        <f t="shared" si="3"/>
        <v>0</v>
      </c>
    </row>
    <row r="56" spans="1:33" ht="22.5" customHeight="1">
      <c r="A56" s="34" t="s">
        <v>47</v>
      </c>
      <c r="B56" s="28"/>
      <c r="C56" s="28"/>
      <c r="D56" s="29"/>
      <c r="AA56" s="35" t="b">
        <v>0</v>
      </c>
      <c r="AB56" s="35" t="b">
        <v>0</v>
      </c>
      <c r="AC56" s="36">
        <f t="shared" si="0"/>
        <v>0</v>
      </c>
      <c r="AD56" s="36">
        <f t="shared" si="0"/>
        <v>0</v>
      </c>
      <c r="AE56" s="36">
        <f t="shared" si="1"/>
        <v>0</v>
      </c>
      <c r="AF56" s="38">
        <f t="shared" si="2"/>
        <v>0</v>
      </c>
      <c r="AG56" s="38">
        <f t="shared" si="3"/>
        <v>0</v>
      </c>
    </row>
    <row r="57" spans="1:33" ht="23.25" customHeight="1">
      <c r="A57" s="34" t="s">
        <v>48</v>
      </c>
      <c r="B57" s="6"/>
      <c r="C57" s="6"/>
      <c r="D57" s="20"/>
      <c r="AA57" s="35" t="b">
        <v>0</v>
      </c>
      <c r="AB57" s="35" t="b">
        <v>0</v>
      </c>
      <c r="AC57" s="36">
        <f t="shared" si="0"/>
        <v>0</v>
      </c>
      <c r="AD57" s="36">
        <f t="shared" si="0"/>
        <v>0</v>
      </c>
      <c r="AE57" s="36">
        <f t="shared" si="1"/>
        <v>0</v>
      </c>
      <c r="AF57" s="38">
        <f t="shared" si="2"/>
        <v>0</v>
      </c>
      <c r="AG57" s="38">
        <f t="shared" si="3"/>
        <v>0</v>
      </c>
    </row>
    <row r="58" spans="1:33" ht="21.65" customHeight="1">
      <c r="A58" s="26"/>
      <c r="B58" s="2"/>
      <c r="C58" s="2"/>
      <c r="D58" s="21"/>
      <c r="AA58" s="35" t="b">
        <v>0</v>
      </c>
      <c r="AB58" s="35" t="b">
        <v>0</v>
      </c>
      <c r="AC58" s="36">
        <f t="shared" si="0"/>
        <v>0</v>
      </c>
      <c r="AD58" s="36">
        <f t="shared" si="0"/>
        <v>0</v>
      </c>
      <c r="AE58" s="36">
        <f t="shared" si="1"/>
        <v>0</v>
      </c>
      <c r="AF58" s="38">
        <f t="shared" si="2"/>
        <v>0</v>
      </c>
      <c r="AG58" s="38">
        <f t="shared" si="3"/>
        <v>0</v>
      </c>
    </row>
    <row r="59" spans="1:33" ht="21.65" customHeight="1">
      <c r="A59" s="26"/>
      <c r="B59" s="2"/>
      <c r="C59" s="2"/>
      <c r="D59" s="21"/>
      <c r="AA59" s="35" t="b">
        <v>0</v>
      </c>
      <c r="AB59" s="35" t="b">
        <v>0</v>
      </c>
      <c r="AC59" s="36">
        <f t="shared" si="0"/>
        <v>0</v>
      </c>
      <c r="AD59" s="36">
        <f t="shared" si="0"/>
        <v>0</v>
      </c>
      <c r="AE59" s="36">
        <f t="shared" si="1"/>
        <v>0</v>
      </c>
      <c r="AF59" s="38">
        <f t="shared" si="2"/>
        <v>0</v>
      </c>
      <c r="AG59" s="38">
        <f t="shared" si="3"/>
        <v>0</v>
      </c>
    </row>
    <row r="60" spans="1:33" ht="21.65" customHeight="1">
      <c r="A60" s="26"/>
      <c r="B60" s="2"/>
      <c r="C60" s="2"/>
      <c r="D60" s="21"/>
      <c r="AA60" s="35" t="b">
        <v>0</v>
      </c>
      <c r="AB60" s="35" t="b">
        <v>0</v>
      </c>
      <c r="AC60" s="36">
        <f t="shared" si="0"/>
        <v>0</v>
      </c>
      <c r="AD60" s="36">
        <f t="shared" si="0"/>
        <v>0</v>
      </c>
      <c r="AE60" s="36">
        <f t="shared" si="1"/>
        <v>0</v>
      </c>
      <c r="AF60" s="38">
        <f t="shared" si="2"/>
        <v>0</v>
      </c>
      <c r="AG60" s="38">
        <f t="shared" si="3"/>
        <v>0</v>
      </c>
    </row>
    <row r="61" spans="1:33" ht="21.65" customHeight="1" thickBot="1">
      <c r="A61" s="32"/>
      <c r="B61" s="5"/>
      <c r="C61" s="5"/>
      <c r="D61" s="22"/>
      <c r="AA61" s="35" t="b">
        <v>0</v>
      </c>
      <c r="AB61" s="35" t="b">
        <v>0</v>
      </c>
      <c r="AC61" s="36">
        <f t="shared" si="0"/>
        <v>0</v>
      </c>
      <c r="AD61" s="36">
        <f t="shared" si="0"/>
        <v>0</v>
      </c>
      <c r="AE61" s="36">
        <f t="shared" si="1"/>
        <v>0</v>
      </c>
      <c r="AF61" s="38">
        <f t="shared" si="2"/>
        <v>0</v>
      </c>
      <c r="AG61" s="38">
        <f t="shared" si="3"/>
        <v>0</v>
      </c>
    </row>
    <row r="62" spans="1:33" ht="21.65" customHeight="1" thickBot="1">
      <c r="A62" s="27" t="s">
        <v>49</v>
      </c>
      <c r="B62" s="13">
        <f>AF62</f>
        <v>0</v>
      </c>
      <c r="C62" s="13">
        <f>AG62</f>
        <v>0</v>
      </c>
      <c r="AC62" s="36" t="str">
        <f t="shared" si="0"/>
        <v/>
      </c>
      <c r="AD62" s="36" t="str">
        <f t="shared" si="0"/>
        <v/>
      </c>
      <c r="AF62" s="39">
        <f>SUM(AF52:AF61)</f>
        <v>0</v>
      </c>
      <c r="AG62" s="39">
        <f>SUM(AG52:AG61)</f>
        <v>0</v>
      </c>
    </row>
    <row r="63" spans="1:33" ht="21.65" customHeight="1" thickBot="1">
      <c r="A63" s="33" t="s">
        <v>15</v>
      </c>
      <c r="B63" s="8" t="s">
        <v>1</v>
      </c>
      <c r="C63" s="10" t="s">
        <v>2</v>
      </c>
      <c r="D63" s="9" t="s">
        <v>3</v>
      </c>
      <c r="AC63" s="36" t="str">
        <f t="shared" si="0"/>
        <v/>
      </c>
      <c r="AD63" s="36" t="str">
        <f t="shared" si="0"/>
        <v/>
      </c>
      <c r="AF63" s="38"/>
      <c r="AG63" s="38"/>
    </row>
    <row r="64" spans="1:33" ht="22.5" customHeight="1">
      <c r="A64" s="34" t="s">
        <v>50</v>
      </c>
      <c r="B64" s="6"/>
      <c r="C64" s="6"/>
      <c r="D64" s="20"/>
      <c r="AA64" s="35" t="b">
        <v>0</v>
      </c>
      <c r="AB64" s="35" t="b">
        <v>0</v>
      </c>
      <c r="AC64" s="36">
        <f t="shared" si="0"/>
        <v>0</v>
      </c>
      <c r="AD64" s="36">
        <f t="shared" si="0"/>
        <v>0</v>
      </c>
      <c r="AE64" s="36">
        <f t="shared" ref="AE64:AE73" si="4">SUM(AC64:AD64)</f>
        <v>0</v>
      </c>
      <c r="AF64" s="38">
        <f t="shared" ref="AF64:AF73" si="5">IF(AE64=1,AC64,0)</f>
        <v>0</v>
      </c>
      <c r="AG64" s="38">
        <f t="shared" ref="AG64:AG73" si="6">IF(AE64=1,AD64,0)</f>
        <v>0</v>
      </c>
    </row>
    <row r="65" spans="1:33" ht="22.5" customHeight="1">
      <c r="A65" s="34" t="s">
        <v>51</v>
      </c>
      <c r="B65" s="2"/>
      <c r="C65" s="2"/>
      <c r="D65" s="21"/>
      <c r="AA65" s="35" t="b">
        <v>0</v>
      </c>
      <c r="AB65" s="35" t="b">
        <v>0</v>
      </c>
      <c r="AC65" s="36">
        <f t="shared" si="0"/>
        <v>0</v>
      </c>
      <c r="AD65" s="36">
        <f t="shared" si="0"/>
        <v>0</v>
      </c>
      <c r="AE65" s="36">
        <f t="shared" si="4"/>
        <v>0</v>
      </c>
      <c r="AF65" s="38">
        <f t="shared" si="5"/>
        <v>0</v>
      </c>
      <c r="AG65" s="38">
        <f t="shared" si="6"/>
        <v>0</v>
      </c>
    </row>
    <row r="66" spans="1:33" ht="23.25" customHeight="1">
      <c r="A66" s="34" t="s">
        <v>52</v>
      </c>
      <c r="B66" s="2"/>
      <c r="C66" s="2"/>
      <c r="D66" s="21"/>
      <c r="AA66" s="35" t="b">
        <v>0</v>
      </c>
      <c r="AB66" s="35" t="b">
        <v>0</v>
      </c>
      <c r="AC66" s="36">
        <f t="shared" si="0"/>
        <v>0</v>
      </c>
      <c r="AD66" s="36">
        <f t="shared" si="0"/>
        <v>0</v>
      </c>
      <c r="AE66" s="36">
        <f t="shared" si="4"/>
        <v>0</v>
      </c>
      <c r="AF66" s="38">
        <f t="shared" si="5"/>
        <v>0</v>
      </c>
      <c r="AG66" s="38">
        <f t="shared" si="6"/>
        <v>0</v>
      </c>
    </row>
    <row r="67" spans="1:33" ht="24.75" customHeight="1">
      <c r="A67" s="34" t="s">
        <v>53</v>
      </c>
      <c r="B67" s="2"/>
      <c r="C67" s="2"/>
      <c r="D67" s="24"/>
      <c r="AA67" s="35" t="b">
        <v>0</v>
      </c>
      <c r="AB67" s="35" t="b">
        <v>0</v>
      </c>
      <c r="AC67" s="36">
        <f t="shared" si="0"/>
        <v>0</v>
      </c>
      <c r="AD67" s="36">
        <f t="shared" si="0"/>
        <v>0</v>
      </c>
      <c r="AE67" s="36">
        <f t="shared" si="4"/>
        <v>0</v>
      </c>
      <c r="AF67" s="38">
        <f t="shared" si="5"/>
        <v>0</v>
      </c>
      <c r="AG67" s="38">
        <f t="shared" si="6"/>
        <v>0</v>
      </c>
    </row>
    <row r="68" spans="1:33" ht="24" customHeight="1">
      <c r="A68" s="34" t="s">
        <v>54</v>
      </c>
      <c r="B68" s="28"/>
      <c r="C68" s="28"/>
      <c r="D68" s="29"/>
      <c r="AA68" s="35" t="b">
        <v>0</v>
      </c>
      <c r="AB68" s="35" t="b">
        <v>0</v>
      </c>
      <c r="AC68" s="36">
        <f t="shared" si="0"/>
        <v>0</v>
      </c>
      <c r="AD68" s="36">
        <f t="shared" si="0"/>
        <v>0</v>
      </c>
      <c r="AE68" s="36">
        <f t="shared" si="4"/>
        <v>0</v>
      </c>
      <c r="AF68" s="38">
        <f t="shared" si="5"/>
        <v>0</v>
      </c>
      <c r="AG68" s="38">
        <f t="shared" si="6"/>
        <v>0</v>
      </c>
    </row>
    <row r="69" spans="1:33" ht="21.65" customHeight="1">
      <c r="A69" s="34" t="s">
        <v>55</v>
      </c>
      <c r="B69" s="6"/>
      <c r="C69" s="6"/>
      <c r="D69" s="20"/>
      <c r="AA69" s="35" t="b">
        <v>0</v>
      </c>
      <c r="AB69" s="35" t="b">
        <v>0</v>
      </c>
      <c r="AC69" s="36">
        <f t="shared" si="0"/>
        <v>0</v>
      </c>
      <c r="AD69" s="36">
        <f t="shared" si="0"/>
        <v>0</v>
      </c>
      <c r="AE69" s="36">
        <f t="shared" si="4"/>
        <v>0</v>
      </c>
      <c r="AF69" s="38">
        <f t="shared" si="5"/>
        <v>0</v>
      </c>
      <c r="AG69" s="38">
        <f t="shared" si="6"/>
        <v>0</v>
      </c>
    </row>
    <row r="70" spans="1:33" ht="21.65" customHeight="1">
      <c r="A70" s="26"/>
      <c r="B70" s="2"/>
      <c r="C70" s="2"/>
      <c r="D70" s="21"/>
      <c r="AA70" s="35" t="b">
        <v>0</v>
      </c>
      <c r="AB70" s="35" t="b">
        <v>0</v>
      </c>
      <c r="AC70" s="36">
        <f t="shared" si="0"/>
        <v>0</v>
      </c>
      <c r="AD70" s="36">
        <f t="shared" si="0"/>
        <v>0</v>
      </c>
      <c r="AE70" s="36">
        <f t="shared" si="4"/>
        <v>0</v>
      </c>
      <c r="AF70" s="38">
        <f t="shared" si="5"/>
        <v>0</v>
      </c>
      <c r="AG70" s="38">
        <f t="shared" si="6"/>
        <v>0</v>
      </c>
    </row>
    <row r="71" spans="1:33" ht="21.65" customHeight="1">
      <c r="A71" s="26"/>
      <c r="B71" s="2"/>
      <c r="C71" s="2"/>
      <c r="D71" s="21"/>
      <c r="AA71" s="35" t="b">
        <v>0</v>
      </c>
      <c r="AB71" s="35" t="b">
        <v>0</v>
      </c>
      <c r="AC71" s="36">
        <f t="shared" si="0"/>
        <v>0</v>
      </c>
      <c r="AD71" s="36">
        <f t="shared" si="0"/>
        <v>0</v>
      </c>
      <c r="AE71" s="36">
        <f t="shared" si="4"/>
        <v>0</v>
      </c>
      <c r="AF71" s="38">
        <f t="shared" si="5"/>
        <v>0</v>
      </c>
      <c r="AG71" s="38">
        <f t="shared" si="6"/>
        <v>0</v>
      </c>
    </row>
    <row r="72" spans="1:33" ht="21.65" customHeight="1">
      <c r="A72" s="26"/>
      <c r="B72" s="2"/>
      <c r="C72" s="2"/>
      <c r="D72" s="21"/>
      <c r="AA72" s="35" t="b">
        <v>0</v>
      </c>
      <c r="AB72" s="35" t="b">
        <v>0</v>
      </c>
      <c r="AC72" s="36">
        <f t="shared" si="0"/>
        <v>0</v>
      </c>
      <c r="AD72" s="36">
        <f t="shared" si="0"/>
        <v>0</v>
      </c>
      <c r="AE72" s="36">
        <f t="shared" si="4"/>
        <v>0</v>
      </c>
      <c r="AF72" s="38">
        <f t="shared" si="5"/>
        <v>0</v>
      </c>
      <c r="AG72" s="38">
        <f t="shared" si="6"/>
        <v>0</v>
      </c>
    </row>
    <row r="73" spans="1:33" ht="21.65" customHeight="1" thickBot="1">
      <c r="A73" s="32"/>
      <c r="B73" s="5"/>
      <c r="C73" s="5"/>
      <c r="D73" s="22"/>
      <c r="AA73" s="35" t="b">
        <v>0</v>
      </c>
      <c r="AB73" s="35" t="b">
        <v>0</v>
      </c>
      <c r="AC73" s="36">
        <f t="shared" si="0"/>
        <v>0</v>
      </c>
      <c r="AD73" s="36">
        <f t="shared" si="0"/>
        <v>0</v>
      </c>
      <c r="AE73" s="36">
        <f t="shared" si="4"/>
        <v>0</v>
      </c>
      <c r="AF73" s="38">
        <f t="shared" si="5"/>
        <v>0</v>
      </c>
      <c r="AG73" s="38">
        <f t="shared" si="6"/>
        <v>0</v>
      </c>
    </row>
    <row r="74" spans="1:33" ht="21.65" customHeight="1">
      <c r="A74" s="11" t="s">
        <v>16</v>
      </c>
      <c r="B74" s="13">
        <f>AF74</f>
        <v>0</v>
      </c>
      <c r="C74" s="13">
        <f>AG74</f>
        <v>0</v>
      </c>
      <c r="AC74" s="36" t="str">
        <f t="shared" si="0"/>
        <v/>
      </c>
      <c r="AD74" s="36" t="str">
        <f t="shared" si="0"/>
        <v/>
      </c>
      <c r="AF74" s="39">
        <f>SUM(AF64:AF73)</f>
        <v>0</v>
      </c>
      <c r="AG74" s="39">
        <f>SUM(AG64:AG73)</f>
        <v>0</v>
      </c>
    </row>
    <row r="75" spans="1:33" ht="16" customHeight="1">
      <c r="A75" s="1" t="s">
        <v>4</v>
      </c>
    </row>
    <row r="76" spans="1:33" ht="41.5" customHeight="1">
      <c r="A76" s="45"/>
      <c r="B76" s="46"/>
      <c r="C76" s="46"/>
      <c r="D76" s="47"/>
      <c r="AF76" s="39">
        <f>SUM(AF26,AF38,AF50,AF62,AF74)</f>
        <v>0</v>
      </c>
      <c r="AG76" s="39">
        <f>SUM(AG26,AG38,AG50,AG62,AG74)</f>
        <v>0</v>
      </c>
    </row>
    <row r="77" spans="1:33" ht="21.65" customHeight="1">
      <c r="A77" s="40" t="s">
        <v>5</v>
      </c>
    </row>
    <row r="78" spans="1:33" ht="41.5" customHeight="1">
      <c r="A78" s="45"/>
      <c r="B78" s="46"/>
      <c r="C78" s="46"/>
      <c r="D78" s="47"/>
    </row>
    <row r="79" spans="1:33" ht="21.65" customHeight="1">
      <c r="A79" s="40" t="s">
        <v>6</v>
      </c>
    </row>
    <row r="80" spans="1:33" ht="41.5" customHeight="1">
      <c r="A80" s="45"/>
      <c r="B80" s="46"/>
      <c r="C80" s="46"/>
      <c r="D80" s="47"/>
    </row>
    <row r="82" spans="1:5">
      <c r="A82" s="14" t="s">
        <v>13</v>
      </c>
      <c r="B82" s="14" t="s">
        <v>14</v>
      </c>
    </row>
    <row r="84" spans="1:5" ht="14">
      <c r="A84" s="41" t="s">
        <v>64</v>
      </c>
      <c r="B84" s="16"/>
      <c r="C84" s="41"/>
      <c r="D84" s="43" t="s">
        <v>57</v>
      </c>
      <c r="E84" s="43"/>
    </row>
    <row r="85" spans="1:5">
      <c r="A85" s="42" t="s">
        <v>17</v>
      </c>
      <c r="C85" s="42"/>
      <c r="D85" s="44" t="s">
        <v>58</v>
      </c>
      <c r="E85" s="44"/>
    </row>
    <row r="86" spans="1:5">
      <c r="D86" s="40"/>
      <c r="E86" s="4"/>
    </row>
    <row r="87" spans="1:5">
      <c r="D87" s="40"/>
      <c r="E87" s="4"/>
    </row>
    <row r="88" spans="1:5" ht="14">
      <c r="D88" s="43" t="s">
        <v>60</v>
      </c>
      <c r="E88" s="43"/>
    </row>
    <row r="89" spans="1:5">
      <c r="D89" s="44" t="s">
        <v>59</v>
      </c>
      <c r="E89" s="44"/>
    </row>
  </sheetData>
  <sheetProtection algorithmName="SHA-512" hashValue="KRG1ujBjykvS43p0xqeUeW2pizHNTEDFCCBoxL+reUYbUDRfUCqUwBfIxRsIuhsUP1mwhopr8DSBgvhOJWhfcQ==" saltValue="5hnqib15ebIQK0beRJnrOg==" spinCount="100000" sheet="1" formatCells="0" formatColumns="0" formatRows="0"/>
  <mergeCells count="15">
    <mergeCell ref="D85:E85"/>
    <mergeCell ref="D88:E88"/>
    <mergeCell ref="D89:E89"/>
    <mergeCell ref="B12:D12"/>
    <mergeCell ref="B13:D13"/>
    <mergeCell ref="A76:D76"/>
    <mergeCell ref="A78:D78"/>
    <mergeCell ref="A80:D80"/>
    <mergeCell ref="D84:E84"/>
    <mergeCell ref="A5:D5"/>
    <mergeCell ref="A6:D6"/>
    <mergeCell ref="A7:D7"/>
    <mergeCell ref="A8:D8"/>
    <mergeCell ref="A10:D10"/>
    <mergeCell ref="B11:D11"/>
  </mergeCells>
  <conditionalFormatting sqref="B16:C16">
    <cfRule type="expression" dxfId="97" priority="49">
      <formula>$AE$16&gt;1</formula>
    </cfRule>
  </conditionalFormatting>
  <conditionalFormatting sqref="B17:C17">
    <cfRule type="expression" dxfId="96" priority="48">
      <formula>$AE$17&gt;1</formula>
    </cfRule>
  </conditionalFormatting>
  <conditionalFormatting sqref="B18:C18">
    <cfRule type="expression" dxfId="95" priority="15">
      <formula>$AE$18&gt;1</formula>
    </cfRule>
  </conditionalFormatting>
  <conditionalFormatting sqref="B19:C19">
    <cfRule type="expression" dxfId="94" priority="46">
      <formula>$AE$19&gt;1</formula>
    </cfRule>
  </conditionalFormatting>
  <conditionalFormatting sqref="B20:C20">
    <cfRule type="expression" dxfId="93" priority="47">
      <formula>$AE$20&gt;1</formula>
    </cfRule>
  </conditionalFormatting>
  <conditionalFormatting sqref="B21:C21">
    <cfRule type="expression" dxfId="92" priority="45">
      <formula>$AE$21&gt;1</formula>
    </cfRule>
  </conditionalFormatting>
  <conditionalFormatting sqref="B22:C22">
    <cfRule type="expression" dxfId="91" priority="44">
      <formula>$AE$22&gt;1</formula>
    </cfRule>
  </conditionalFormatting>
  <conditionalFormatting sqref="B23:C23">
    <cfRule type="expression" dxfId="90" priority="14">
      <formula>$AE$23&gt;1</formula>
    </cfRule>
  </conditionalFormatting>
  <conditionalFormatting sqref="B24:C24">
    <cfRule type="expression" dxfId="89" priority="43">
      <formula>$AE$24&gt;1</formula>
    </cfRule>
  </conditionalFormatting>
  <conditionalFormatting sqref="B25:C25">
    <cfRule type="expression" dxfId="88" priority="42">
      <formula>$AE$25&gt;1</formula>
    </cfRule>
  </conditionalFormatting>
  <conditionalFormatting sqref="B28:C28">
    <cfRule type="expression" dxfId="87" priority="41">
      <formula>$AE$28&gt;1</formula>
    </cfRule>
  </conditionalFormatting>
  <conditionalFormatting sqref="B29:C29">
    <cfRule type="expression" dxfId="86" priority="40">
      <formula>$AE$29&gt;1</formula>
    </cfRule>
  </conditionalFormatting>
  <conditionalFormatting sqref="B30:C30">
    <cfRule type="expression" dxfId="85" priority="39">
      <formula>$AE$30&gt;1</formula>
    </cfRule>
  </conditionalFormatting>
  <conditionalFormatting sqref="B31:C31">
    <cfRule type="expression" dxfId="84" priority="13">
      <formula>$AE$31&gt;1</formula>
    </cfRule>
  </conditionalFormatting>
  <conditionalFormatting sqref="B32:C32">
    <cfRule type="expression" dxfId="83" priority="38">
      <formula>$AE$32&gt;1</formula>
    </cfRule>
  </conditionalFormatting>
  <conditionalFormatting sqref="B33:C33">
    <cfRule type="expression" dxfId="82" priority="37">
      <formula>$AE$33&gt;1</formula>
    </cfRule>
  </conditionalFormatting>
  <conditionalFormatting sqref="B34:C34">
    <cfRule type="expression" dxfId="81" priority="36">
      <formula>$AE$34&gt;1</formula>
    </cfRule>
  </conditionalFormatting>
  <conditionalFormatting sqref="B35:C35">
    <cfRule type="expression" dxfId="80" priority="12">
      <formula>$AE$35&gt;1</formula>
    </cfRule>
  </conditionalFormatting>
  <conditionalFormatting sqref="B36:C36">
    <cfRule type="expression" dxfId="79" priority="35">
      <formula>$AE$36&gt;1</formula>
    </cfRule>
  </conditionalFormatting>
  <conditionalFormatting sqref="B37:C37">
    <cfRule type="expression" dxfId="78" priority="34">
      <formula>$AE$37&gt;1</formula>
    </cfRule>
  </conditionalFormatting>
  <conditionalFormatting sqref="B40:C40">
    <cfRule type="expression" dxfId="77" priority="33">
      <formula>$AE$40&gt;1</formula>
    </cfRule>
  </conditionalFormatting>
  <conditionalFormatting sqref="B41:C41">
    <cfRule type="expression" dxfId="76" priority="32">
      <formula>$AE$41&gt;1</formula>
    </cfRule>
  </conditionalFormatting>
  <conditionalFormatting sqref="B42:C42">
    <cfRule type="expression" dxfId="75" priority="31">
      <formula>$AE$42&gt;1</formula>
    </cfRule>
  </conditionalFormatting>
  <conditionalFormatting sqref="B43:C43">
    <cfRule type="expression" dxfId="74" priority="11">
      <formula>$AE$43&gt;1</formula>
    </cfRule>
  </conditionalFormatting>
  <conditionalFormatting sqref="B44:C44">
    <cfRule type="expression" dxfId="73" priority="30">
      <formula>$AE$44&gt;1</formula>
    </cfRule>
  </conditionalFormatting>
  <conditionalFormatting sqref="B45:C45">
    <cfRule type="expression" dxfId="72" priority="29">
      <formula>$AE$45&gt;1</formula>
    </cfRule>
  </conditionalFormatting>
  <conditionalFormatting sqref="B46:C46">
    <cfRule type="expression" dxfId="71" priority="28">
      <formula>$AE$46&gt;1</formula>
    </cfRule>
  </conditionalFormatting>
  <conditionalFormatting sqref="B47:C47">
    <cfRule type="expression" dxfId="70" priority="27">
      <formula>$AE$47&gt;1</formula>
    </cfRule>
  </conditionalFormatting>
  <conditionalFormatting sqref="B48:C48">
    <cfRule type="expression" dxfId="69" priority="26">
      <formula>$AE$48&gt;1</formula>
    </cfRule>
  </conditionalFormatting>
  <conditionalFormatting sqref="B49:C49">
    <cfRule type="expression" dxfId="68" priority="25">
      <formula>$AE$49&gt;1</formula>
    </cfRule>
  </conditionalFormatting>
  <conditionalFormatting sqref="B52:C52">
    <cfRule type="expression" dxfId="67" priority="19">
      <formula>$AE$52&gt;1</formula>
    </cfRule>
  </conditionalFormatting>
  <conditionalFormatting sqref="B53:C53">
    <cfRule type="expression" dxfId="66" priority="18">
      <formula>$AE$53&gt;1</formula>
    </cfRule>
  </conditionalFormatting>
  <conditionalFormatting sqref="B54:C54">
    <cfRule type="expression" dxfId="65" priority="17">
      <formula>$AE$54&gt;1</formula>
    </cfRule>
  </conditionalFormatting>
  <conditionalFormatting sqref="B55:C55">
    <cfRule type="expression" dxfId="64" priority="10">
      <formula>$AE$55&gt;1</formula>
    </cfRule>
  </conditionalFormatting>
  <conditionalFormatting sqref="B56:C56">
    <cfRule type="expression" dxfId="63" priority="16">
      <formula>$AE$56&gt;1</formula>
    </cfRule>
  </conditionalFormatting>
  <conditionalFormatting sqref="B57:C57">
    <cfRule type="expression" dxfId="62" priority="24">
      <formula>$AE$57&gt;1</formula>
    </cfRule>
  </conditionalFormatting>
  <conditionalFormatting sqref="B58:C58">
    <cfRule type="expression" dxfId="61" priority="23">
      <formula>$AE$58&gt;1</formula>
    </cfRule>
  </conditionalFormatting>
  <conditionalFormatting sqref="B59:C59">
    <cfRule type="expression" dxfId="60" priority="22">
      <formula>$AE$59&gt;1</formula>
    </cfRule>
  </conditionalFormatting>
  <conditionalFormatting sqref="B60:C60">
    <cfRule type="expression" dxfId="59" priority="21">
      <formula>$AE$60&gt;1</formula>
    </cfRule>
  </conditionalFormatting>
  <conditionalFormatting sqref="B61:C61 B73:C73">
    <cfRule type="expression" dxfId="58" priority="20">
      <formula>$AE$73&gt;1</formula>
    </cfRule>
  </conditionalFormatting>
  <conditionalFormatting sqref="B64:C64">
    <cfRule type="expression" dxfId="57" priority="5">
      <formula>$AE$64&gt;1</formula>
    </cfRule>
  </conditionalFormatting>
  <conditionalFormatting sqref="B65:C65">
    <cfRule type="expression" dxfId="56" priority="4">
      <formula>$AE$65&gt;1</formula>
    </cfRule>
  </conditionalFormatting>
  <conditionalFormatting sqref="B66:C66">
    <cfRule type="expression" dxfId="55" priority="3">
      <formula>$AE$66&gt;1</formula>
    </cfRule>
  </conditionalFormatting>
  <conditionalFormatting sqref="B67:C67">
    <cfRule type="expression" dxfId="54" priority="1">
      <formula>$AE$67&gt;1</formula>
    </cfRule>
  </conditionalFormatting>
  <conditionalFormatting sqref="B68:C68">
    <cfRule type="expression" dxfId="53" priority="2">
      <formula>$AE$68&gt;1</formula>
    </cfRule>
  </conditionalFormatting>
  <conditionalFormatting sqref="B69:C69">
    <cfRule type="expression" dxfId="52" priority="9">
      <formula>$AE$69&gt;1</formula>
    </cfRule>
  </conditionalFormatting>
  <conditionalFormatting sqref="B70:C70">
    <cfRule type="expression" dxfId="51" priority="8">
      <formula>$AE$70&gt;1</formula>
    </cfRule>
  </conditionalFormatting>
  <conditionalFormatting sqref="B71:C71">
    <cfRule type="expression" dxfId="50" priority="7">
      <formula>$AE$71&gt;1</formula>
    </cfRule>
  </conditionalFormatting>
  <conditionalFormatting sqref="B72:C72">
    <cfRule type="expression" dxfId="49" priority="6">
      <formula>$AE$72&gt;1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317500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69850</xdr:rowOff>
                  </from>
                  <to>
                    <xdr:col>1</xdr:col>
                    <xdr:colOff>298450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21</xdr:row>
                    <xdr:rowOff>69850</xdr:rowOff>
                  </from>
                  <to>
                    <xdr:col>1</xdr:col>
                    <xdr:colOff>279400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323850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298450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27</xdr:row>
                    <xdr:rowOff>69850</xdr:rowOff>
                  </from>
                  <to>
                    <xdr:col>1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69850</xdr:rowOff>
                  </from>
                  <to>
                    <xdr:col>1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69850</xdr:rowOff>
                  </from>
                  <to>
                    <xdr:col>1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41</xdr:row>
                    <xdr:rowOff>69850</xdr:rowOff>
                  </from>
                  <to>
                    <xdr:col>1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48</xdr:row>
                    <xdr:rowOff>69850</xdr:rowOff>
                  </from>
                  <to>
                    <xdr:col>1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55</xdr:row>
                    <xdr:rowOff>69850</xdr:rowOff>
                  </from>
                  <to>
                    <xdr:col>1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56</xdr:row>
                    <xdr:rowOff>69850</xdr:rowOff>
                  </from>
                  <to>
                    <xdr:col>1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323850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323850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69850</xdr:rowOff>
                  </from>
                  <to>
                    <xdr:col>2</xdr:col>
                    <xdr:colOff>323850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69850</xdr:rowOff>
                  </from>
                  <to>
                    <xdr:col>2</xdr:col>
                    <xdr:colOff>323850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323850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323850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69850</xdr:rowOff>
                  </from>
                  <to>
                    <xdr:col>2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69850</xdr:rowOff>
                  </from>
                  <to>
                    <xdr:col>2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69850</xdr:rowOff>
                  </from>
                  <to>
                    <xdr:col>2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69850</xdr:rowOff>
                  </from>
                  <to>
                    <xdr:col>2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69850</xdr:rowOff>
                  </from>
                  <to>
                    <xdr:col>2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69850</xdr:rowOff>
                  </from>
                  <to>
                    <xdr:col>2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69850</xdr:rowOff>
                  </from>
                  <to>
                    <xdr:col>2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323850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317500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323850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323850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323850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35</xdr:row>
                    <xdr:rowOff>69850</xdr:rowOff>
                  </from>
                  <to>
                    <xdr:col>1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69850</xdr:rowOff>
                  </from>
                  <to>
                    <xdr:col>2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69850</xdr:rowOff>
                  </from>
                  <to>
                    <xdr:col>1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69850</xdr:rowOff>
                  </from>
                  <to>
                    <xdr:col>2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63</xdr:row>
                    <xdr:rowOff>69850</xdr:rowOff>
                  </from>
                  <to>
                    <xdr:col>1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89" name="Check Box 86">
              <controlPr defaultSize="0" autoFill="0" autoLine="0" autoPict="0">
                <anchor moveWithCells="1">
                  <from>
                    <xdr:col>1</xdr:col>
                    <xdr:colOff>114300</xdr:colOff>
                    <xdr:row>69</xdr:row>
                    <xdr:rowOff>69850</xdr:rowOff>
                  </from>
                  <to>
                    <xdr:col>1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70</xdr:row>
                    <xdr:rowOff>69850</xdr:rowOff>
                  </from>
                  <to>
                    <xdr:col>1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91" name="Check Box 88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63</xdr:row>
                    <xdr:rowOff>69850</xdr:rowOff>
                  </from>
                  <to>
                    <xdr:col>2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9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9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9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9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9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69</xdr:row>
                    <xdr:rowOff>69850</xdr:rowOff>
                  </from>
                  <to>
                    <xdr:col>2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70</xdr:row>
                    <xdr:rowOff>69850</xdr:rowOff>
                  </from>
                  <to>
                    <xdr:col>2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102" name="Check Box 99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CF8D-2F2A-4089-A5CA-8F6BE0F48ECE}">
  <dimension ref="A5:AH89"/>
  <sheetViews>
    <sheetView showGridLines="0" tabSelected="1" zoomScale="110" zoomScaleNormal="110" workbookViewId="0">
      <selection activeCell="D4" sqref="D4"/>
    </sheetView>
  </sheetViews>
  <sheetFormatPr defaultColWidth="9.296875" defaultRowHeight="13"/>
  <cols>
    <col min="1" max="1" width="54.69921875" style="40" customWidth="1"/>
    <col min="2" max="3" width="6.796875" style="40" customWidth="1"/>
    <col min="4" max="4" width="44.796875" style="4" customWidth="1"/>
    <col min="5" max="5" width="9.296875" style="40"/>
    <col min="6" max="25" width="9.296875" style="40" customWidth="1"/>
    <col min="26" max="26" width="9.296875" style="40"/>
    <col min="27" max="28" width="9.296875" style="35"/>
    <col min="29" max="30" width="4.19921875" style="36" customWidth="1"/>
    <col min="31" max="31" width="3.296875" style="36" customWidth="1"/>
    <col min="32" max="33" width="9.296875" style="36"/>
    <col min="34" max="34" width="9.296875" style="37"/>
    <col min="35" max="16384" width="9.296875" style="40"/>
  </cols>
  <sheetData>
    <row r="5" spans="1:33" ht="13" customHeight="1">
      <c r="A5" s="48" t="s">
        <v>10</v>
      </c>
      <c r="B5" s="48"/>
      <c r="C5" s="48"/>
      <c r="D5" s="48"/>
    </row>
    <row r="6" spans="1:33" ht="13" customHeight="1">
      <c r="A6" s="49" t="s">
        <v>11</v>
      </c>
      <c r="B6" s="49"/>
      <c r="C6" s="49"/>
      <c r="D6" s="49"/>
    </row>
    <row r="7" spans="1:33">
      <c r="A7" s="50"/>
      <c r="B7" s="50"/>
      <c r="C7" s="50"/>
      <c r="D7" s="50"/>
    </row>
    <row r="8" spans="1:33" ht="13" customHeight="1" thickBot="1">
      <c r="A8" s="51" t="s">
        <v>12</v>
      </c>
      <c r="B8" s="51"/>
      <c r="C8" s="51"/>
      <c r="D8" s="51"/>
    </row>
    <row r="9" spans="1:33" ht="7" customHeight="1" thickTop="1">
      <c r="A9" s="13"/>
      <c r="B9" s="13"/>
      <c r="C9" s="13"/>
      <c r="D9" s="13"/>
    </row>
    <row r="10" spans="1:33" ht="32.5" customHeight="1">
      <c r="A10" s="52" t="s">
        <v>18</v>
      </c>
      <c r="B10" s="53"/>
      <c r="C10" s="53"/>
      <c r="D10" s="53"/>
    </row>
    <row r="11" spans="1:33">
      <c r="A11" s="3" t="s">
        <v>7</v>
      </c>
      <c r="B11" s="54"/>
      <c r="C11" s="55"/>
      <c r="D11" s="55"/>
    </row>
    <row r="12" spans="1:33">
      <c r="A12" s="12" t="s">
        <v>8</v>
      </c>
      <c r="B12" s="54" t="s">
        <v>62</v>
      </c>
      <c r="C12" s="55"/>
      <c r="D12" s="55"/>
    </row>
    <row r="13" spans="1:33">
      <c r="A13" s="12" t="s">
        <v>9</v>
      </c>
      <c r="B13" s="54" t="s">
        <v>63</v>
      </c>
      <c r="C13" s="55"/>
      <c r="D13" s="55"/>
    </row>
    <row r="14" spans="1:33" ht="22.5" customHeight="1" thickBot="1">
      <c r="A14" s="25" t="s">
        <v>19</v>
      </c>
    </row>
    <row r="15" spans="1:33" ht="13.5" thickBot="1">
      <c r="A15" s="7" t="s">
        <v>0</v>
      </c>
      <c r="B15" s="8" t="s">
        <v>1</v>
      </c>
      <c r="C15" s="8" t="s">
        <v>2</v>
      </c>
      <c r="D15" s="9" t="s">
        <v>3</v>
      </c>
    </row>
    <row r="16" spans="1:33" ht="25" customHeight="1">
      <c r="A16" s="34" t="s">
        <v>20</v>
      </c>
      <c r="B16" s="6"/>
      <c r="C16" s="6"/>
      <c r="D16" s="18"/>
      <c r="AA16" s="35" t="b">
        <v>0</v>
      </c>
      <c r="AB16" s="35" t="b">
        <v>0</v>
      </c>
      <c r="AC16" s="36">
        <f>IF(AA16="","",IF(AA16=TRUE,1,0))</f>
        <v>0</v>
      </c>
      <c r="AD16" s="36">
        <f>IF(AB16="","",IF(AB16=TRUE,1,0))</f>
        <v>0</v>
      </c>
      <c r="AE16" s="36">
        <f>SUM(AC16:AD16)</f>
        <v>0</v>
      </c>
      <c r="AF16" s="38">
        <f>IF(AE16=1,AC16,0)</f>
        <v>0</v>
      </c>
      <c r="AG16" s="38">
        <f>IF(AE16=1,AD16,0)</f>
        <v>0</v>
      </c>
    </row>
    <row r="17" spans="1:33" ht="25" customHeight="1">
      <c r="A17" s="34" t="s">
        <v>21</v>
      </c>
      <c r="B17" s="2"/>
      <c r="C17" s="2"/>
      <c r="D17" s="19"/>
      <c r="AA17" s="35" t="b">
        <v>0</v>
      </c>
      <c r="AB17" s="35" t="b">
        <v>0</v>
      </c>
      <c r="AC17" s="36">
        <f t="shared" ref="AC17:AD74" si="0">IF(AA17="","",IF(AA17=TRUE,1,0))</f>
        <v>0</v>
      </c>
      <c r="AD17" s="36">
        <f t="shared" si="0"/>
        <v>0</v>
      </c>
      <c r="AE17" s="36">
        <f t="shared" ref="AE17:AE61" si="1">SUM(AC17:AD17)</f>
        <v>0</v>
      </c>
      <c r="AF17" s="38">
        <f t="shared" ref="AF17:AF61" si="2">IF(AE17=1,AC17,0)</f>
        <v>0</v>
      </c>
      <c r="AG17" s="38">
        <f t="shared" ref="AG17:AG61" si="3">IF(AE17=1,AD17,0)</f>
        <v>0</v>
      </c>
    </row>
    <row r="18" spans="1:33" ht="25" customHeight="1">
      <c r="A18" s="34" t="s">
        <v>22</v>
      </c>
      <c r="B18" s="2"/>
      <c r="C18" s="2"/>
      <c r="D18" s="19"/>
      <c r="AA18" s="35" t="b">
        <v>0</v>
      </c>
      <c r="AB18" s="35" t="b">
        <v>0</v>
      </c>
      <c r="AC18" s="36">
        <f t="shared" si="0"/>
        <v>0</v>
      </c>
      <c r="AD18" s="36">
        <f t="shared" si="0"/>
        <v>0</v>
      </c>
      <c r="AE18" s="36">
        <f t="shared" si="1"/>
        <v>0</v>
      </c>
      <c r="AF18" s="38">
        <f t="shared" si="2"/>
        <v>0</v>
      </c>
      <c r="AG18" s="38">
        <f t="shared" si="3"/>
        <v>0</v>
      </c>
    </row>
    <row r="19" spans="1:33" ht="25" customHeight="1">
      <c r="A19" s="34" t="s">
        <v>23</v>
      </c>
      <c r="B19" s="2"/>
      <c r="C19" s="2"/>
      <c r="D19" s="23"/>
      <c r="AA19" s="35" t="b">
        <v>0</v>
      </c>
      <c r="AB19" s="35" t="b">
        <v>0</v>
      </c>
      <c r="AC19" s="36">
        <f t="shared" si="0"/>
        <v>0</v>
      </c>
      <c r="AD19" s="36">
        <f t="shared" si="0"/>
        <v>0</v>
      </c>
      <c r="AE19" s="36">
        <f t="shared" si="1"/>
        <v>0</v>
      </c>
      <c r="AF19" s="38">
        <f t="shared" si="2"/>
        <v>0</v>
      </c>
      <c r="AG19" s="38">
        <f t="shared" si="3"/>
        <v>0</v>
      </c>
    </row>
    <row r="20" spans="1:33" ht="25" customHeight="1">
      <c r="A20" s="34" t="s">
        <v>24</v>
      </c>
      <c r="B20" s="28"/>
      <c r="C20" s="28"/>
      <c r="D20" s="30"/>
      <c r="AA20" s="35" t="b">
        <v>0</v>
      </c>
      <c r="AB20" s="35" t="b">
        <v>0</v>
      </c>
      <c r="AC20" s="36">
        <f t="shared" si="0"/>
        <v>0</v>
      </c>
      <c r="AD20" s="36">
        <f t="shared" si="0"/>
        <v>0</v>
      </c>
      <c r="AE20" s="36">
        <f t="shared" si="1"/>
        <v>0</v>
      </c>
      <c r="AF20" s="38">
        <f t="shared" si="2"/>
        <v>0</v>
      </c>
      <c r="AG20" s="38">
        <f t="shared" si="3"/>
        <v>0</v>
      </c>
    </row>
    <row r="21" spans="1:33" ht="24" customHeight="1">
      <c r="A21" s="34" t="s">
        <v>25</v>
      </c>
      <c r="B21" s="6"/>
      <c r="C21" s="6"/>
      <c r="D21" s="20"/>
      <c r="AA21" s="35" t="b">
        <v>0</v>
      </c>
      <c r="AB21" s="35" t="b">
        <v>0</v>
      </c>
      <c r="AC21" s="36">
        <f t="shared" si="0"/>
        <v>0</v>
      </c>
      <c r="AD21" s="36">
        <f t="shared" si="0"/>
        <v>0</v>
      </c>
      <c r="AE21" s="36">
        <f t="shared" si="1"/>
        <v>0</v>
      </c>
      <c r="AF21" s="38">
        <f t="shared" si="2"/>
        <v>0</v>
      </c>
      <c r="AG21" s="38">
        <f t="shared" si="3"/>
        <v>0</v>
      </c>
    </row>
    <row r="22" spans="1:33" ht="21.65" customHeight="1">
      <c r="A22" s="26"/>
      <c r="B22" s="2"/>
      <c r="C22" s="2"/>
      <c r="D22" s="21"/>
      <c r="AA22" s="35" t="b">
        <v>0</v>
      </c>
      <c r="AB22" s="35" t="b">
        <v>0</v>
      </c>
      <c r="AC22" s="36">
        <f t="shared" si="0"/>
        <v>0</v>
      </c>
      <c r="AD22" s="36">
        <f t="shared" si="0"/>
        <v>0</v>
      </c>
      <c r="AE22" s="36">
        <f t="shared" si="1"/>
        <v>0</v>
      </c>
      <c r="AF22" s="38">
        <f t="shared" si="2"/>
        <v>0</v>
      </c>
      <c r="AG22" s="38">
        <f t="shared" si="3"/>
        <v>0</v>
      </c>
    </row>
    <row r="23" spans="1:33" ht="21.65" customHeight="1">
      <c r="A23" s="26"/>
      <c r="B23" s="2"/>
      <c r="C23" s="2"/>
      <c r="D23" s="21"/>
      <c r="AA23" s="35" t="b">
        <v>0</v>
      </c>
      <c r="AB23" s="35" t="b">
        <v>0</v>
      </c>
      <c r="AC23" s="36">
        <f t="shared" si="0"/>
        <v>0</v>
      </c>
      <c r="AD23" s="36">
        <f t="shared" si="0"/>
        <v>0</v>
      </c>
      <c r="AE23" s="36">
        <f t="shared" si="1"/>
        <v>0</v>
      </c>
      <c r="AF23" s="38">
        <f t="shared" si="2"/>
        <v>0</v>
      </c>
      <c r="AG23" s="38">
        <f t="shared" si="3"/>
        <v>0</v>
      </c>
    </row>
    <row r="24" spans="1:33" ht="21.65" customHeight="1">
      <c r="A24" s="26"/>
      <c r="B24" s="2"/>
      <c r="C24" s="2"/>
      <c r="D24" s="24"/>
      <c r="AA24" s="35" t="b">
        <v>0</v>
      </c>
      <c r="AB24" s="35" t="b">
        <v>0</v>
      </c>
      <c r="AC24" s="36">
        <f t="shared" si="0"/>
        <v>0</v>
      </c>
      <c r="AD24" s="36">
        <f t="shared" si="0"/>
        <v>0</v>
      </c>
      <c r="AE24" s="36">
        <f t="shared" si="1"/>
        <v>0</v>
      </c>
      <c r="AF24" s="38">
        <f t="shared" si="2"/>
        <v>0</v>
      </c>
      <c r="AG24" s="38">
        <f t="shared" si="3"/>
        <v>0</v>
      </c>
    </row>
    <row r="25" spans="1:33" ht="21.65" customHeight="1" thickBot="1">
      <c r="A25" s="32"/>
      <c r="B25" s="5"/>
      <c r="C25" s="5"/>
      <c r="D25" s="22"/>
      <c r="AA25" s="35" t="b">
        <v>0</v>
      </c>
      <c r="AB25" s="35" t="b">
        <v>0</v>
      </c>
      <c r="AC25" s="36">
        <f t="shared" si="0"/>
        <v>0</v>
      </c>
      <c r="AD25" s="36">
        <f t="shared" si="0"/>
        <v>0</v>
      </c>
      <c r="AE25" s="36">
        <f t="shared" si="1"/>
        <v>0</v>
      </c>
      <c r="AF25" s="38">
        <f t="shared" si="2"/>
        <v>0</v>
      </c>
      <c r="AG25" s="38">
        <f t="shared" si="3"/>
        <v>0</v>
      </c>
    </row>
    <row r="26" spans="1:33" ht="21.65" customHeight="1" thickBot="1">
      <c r="A26" s="27" t="s">
        <v>26</v>
      </c>
      <c r="B26" s="13">
        <f>AF26</f>
        <v>0</v>
      </c>
      <c r="C26" s="13">
        <f>AG26</f>
        <v>0</v>
      </c>
      <c r="AC26" s="36" t="str">
        <f t="shared" si="0"/>
        <v/>
      </c>
      <c r="AD26" s="36" t="str">
        <f t="shared" si="0"/>
        <v/>
      </c>
      <c r="AF26" s="39">
        <f>SUM(AF16:AF25)</f>
        <v>0</v>
      </c>
      <c r="AG26" s="39">
        <f>SUM(AG16:AG25)</f>
        <v>0</v>
      </c>
    </row>
    <row r="27" spans="1:33" ht="21.65" customHeight="1" thickBot="1">
      <c r="A27" s="7" t="s">
        <v>0</v>
      </c>
      <c r="B27" s="8" t="s">
        <v>1</v>
      </c>
      <c r="C27" s="10" t="s">
        <v>2</v>
      </c>
      <c r="D27" s="9" t="s">
        <v>3</v>
      </c>
      <c r="AC27" s="36" t="str">
        <f t="shared" si="0"/>
        <v/>
      </c>
      <c r="AD27" s="36" t="str">
        <f t="shared" si="0"/>
        <v/>
      </c>
      <c r="AF27" s="38"/>
      <c r="AG27" s="38"/>
    </row>
    <row r="28" spans="1:33" ht="24.75" customHeight="1">
      <c r="A28" s="34" t="s">
        <v>27</v>
      </c>
      <c r="B28" s="2"/>
      <c r="C28" s="2"/>
      <c r="D28" s="20"/>
      <c r="AA28" s="35" t="b">
        <v>0</v>
      </c>
      <c r="AB28" s="35" t="b">
        <v>0</v>
      </c>
      <c r="AC28" s="36">
        <f t="shared" si="0"/>
        <v>0</v>
      </c>
      <c r="AD28" s="36">
        <f t="shared" si="0"/>
        <v>0</v>
      </c>
      <c r="AE28" s="36">
        <f t="shared" si="1"/>
        <v>0</v>
      </c>
      <c r="AF28" s="38">
        <f t="shared" si="2"/>
        <v>0</v>
      </c>
      <c r="AG28" s="38">
        <f t="shared" si="3"/>
        <v>0</v>
      </c>
    </row>
    <row r="29" spans="1:33" ht="25.5" customHeight="1">
      <c r="A29" s="34" t="s">
        <v>28</v>
      </c>
      <c r="B29" s="2"/>
      <c r="C29" s="2"/>
      <c r="D29" s="21"/>
      <c r="AA29" s="35" t="b">
        <v>0</v>
      </c>
      <c r="AB29" s="35" t="b">
        <v>0</v>
      </c>
      <c r="AC29" s="36">
        <f t="shared" si="0"/>
        <v>0</v>
      </c>
      <c r="AD29" s="36">
        <f t="shared" si="0"/>
        <v>0</v>
      </c>
      <c r="AE29" s="36">
        <f t="shared" si="1"/>
        <v>0</v>
      </c>
      <c r="AF29" s="38">
        <f t="shared" si="2"/>
        <v>0</v>
      </c>
      <c r="AG29" s="38">
        <f t="shared" si="3"/>
        <v>0</v>
      </c>
    </row>
    <row r="30" spans="1:33" ht="25.5" customHeight="1">
      <c r="A30" s="34" t="s">
        <v>29</v>
      </c>
      <c r="B30" s="2"/>
      <c r="C30" s="2"/>
      <c r="D30" s="21"/>
      <c r="AA30" s="35" t="b">
        <v>0</v>
      </c>
      <c r="AB30" s="35" t="b">
        <v>0</v>
      </c>
      <c r="AC30" s="36">
        <f t="shared" si="0"/>
        <v>0</v>
      </c>
      <c r="AD30" s="36">
        <f t="shared" si="0"/>
        <v>0</v>
      </c>
      <c r="AE30" s="36">
        <f t="shared" si="1"/>
        <v>0</v>
      </c>
      <c r="AF30" s="38">
        <f t="shared" si="2"/>
        <v>0</v>
      </c>
      <c r="AG30" s="38">
        <f t="shared" si="3"/>
        <v>0</v>
      </c>
    </row>
    <row r="31" spans="1:33" ht="27" customHeight="1">
      <c r="A31" s="34" t="s">
        <v>30</v>
      </c>
      <c r="B31" s="2"/>
      <c r="C31" s="2"/>
      <c r="D31" s="24"/>
      <c r="AA31" s="35" t="b">
        <v>0</v>
      </c>
      <c r="AB31" s="35" t="b">
        <v>0</v>
      </c>
      <c r="AC31" s="36">
        <f t="shared" si="0"/>
        <v>0</v>
      </c>
      <c r="AD31" s="36">
        <f t="shared" si="0"/>
        <v>0</v>
      </c>
      <c r="AE31" s="36">
        <f t="shared" si="1"/>
        <v>0</v>
      </c>
      <c r="AF31" s="38">
        <f t="shared" si="2"/>
        <v>0</v>
      </c>
      <c r="AG31" s="38">
        <f t="shared" si="3"/>
        <v>0</v>
      </c>
    </row>
    <row r="32" spans="1:33" ht="24.75" customHeight="1">
      <c r="A32" s="34" t="s">
        <v>31</v>
      </c>
      <c r="B32" s="28"/>
      <c r="C32" s="28"/>
      <c r="D32" s="29"/>
      <c r="AA32" s="35" t="b">
        <v>0</v>
      </c>
      <c r="AB32" s="35" t="b">
        <v>0</v>
      </c>
      <c r="AC32" s="36">
        <f t="shared" si="0"/>
        <v>0</v>
      </c>
      <c r="AD32" s="36">
        <f t="shared" si="0"/>
        <v>0</v>
      </c>
      <c r="AE32" s="36">
        <f t="shared" si="1"/>
        <v>0</v>
      </c>
      <c r="AF32" s="38">
        <f t="shared" si="2"/>
        <v>0</v>
      </c>
      <c r="AG32" s="38">
        <f t="shared" si="3"/>
        <v>0</v>
      </c>
    </row>
    <row r="33" spans="1:33" ht="27" customHeight="1">
      <c r="A33" s="34" t="s">
        <v>32</v>
      </c>
      <c r="B33" s="6"/>
      <c r="C33" s="6"/>
      <c r="D33" s="20"/>
      <c r="AA33" s="35" t="b">
        <v>0</v>
      </c>
      <c r="AB33" s="35" t="b">
        <v>0</v>
      </c>
      <c r="AC33" s="36">
        <f t="shared" si="0"/>
        <v>0</v>
      </c>
      <c r="AD33" s="36">
        <f t="shared" si="0"/>
        <v>0</v>
      </c>
      <c r="AE33" s="36">
        <f t="shared" si="1"/>
        <v>0</v>
      </c>
      <c r="AF33" s="38">
        <f t="shared" si="2"/>
        <v>0</v>
      </c>
      <c r="AG33" s="38">
        <f t="shared" si="3"/>
        <v>0</v>
      </c>
    </row>
    <row r="34" spans="1:33" ht="26.25" customHeight="1">
      <c r="A34" s="34" t="s">
        <v>33</v>
      </c>
      <c r="B34" s="2"/>
      <c r="C34" s="2"/>
      <c r="D34" s="21"/>
      <c r="AA34" s="35" t="b">
        <v>0</v>
      </c>
      <c r="AB34" s="35" t="b">
        <v>0</v>
      </c>
      <c r="AC34" s="36">
        <f t="shared" si="0"/>
        <v>0</v>
      </c>
      <c r="AD34" s="36">
        <f t="shared" si="0"/>
        <v>0</v>
      </c>
      <c r="AE34" s="36">
        <f t="shared" si="1"/>
        <v>0</v>
      </c>
      <c r="AF34" s="38">
        <f t="shared" si="2"/>
        <v>0</v>
      </c>
      <c r="AG34" s="38">
        <f t="shared" si="3"/>
        <v>0</v>
      </c>
    </row>
    <row r="35" spans="1:33" ht="21.65" customHeight="1">
      <c r="A35" s="26"/>
      <c r="B35" s="2"/>
      <c r="C35" s="2"/>
      <c r="D35" s="21"/>
      <c r="AA35" s="35" t="b">
        <v>0</v>
      </c>
      <c r="AB35" s="35" t="b">
        <v>0</v>
      </c>
      <c r="AC35" s="36">
        <f t="shared" si="0"/>
        <v>0</v>
      </c>
      <c r="AD35" s="36">
        <f t="shared" si="0"/>
        <v>0</v>
      </c>
      <c r="AE35" s="36">
        <f t="shared" si="1"/>
        <v>0</v>
      </c>
      <c r="AF35" s="38">
        <f t="shared" si="2"/>
        <v>0</v>
      </c>
      <c r="AG35" s="38">
        <f t="shared" si="3"/>
        <v>0</v>
      </c>
    </row>
    <row r="36" spans="1:33" ht="21.65" customHeight="1">
      <c r="A36" s="26"/>
      <c r="B36" s="2"/>
      <c r="C36" s="2"/>
      <c r="D36" s="24"/>
      <c r="AA36" s="35" t="b">
        <v>0</v>
      </c>
      <c r="AB36" s="35" t="b">
        <v>0</v>
      </c>
      <c r="AC36" s="36">
        <f t="shared" si="0"/>
        <v>0</v>
      </c>
      <c r="AD36" s="36">
        <f t="shared" si="0"/>
        <v>0</v>
      </c>
      <c r="AE36" s="36">
        <f t="shared" si="1"/>
        <v>0</v>
      </c>
      <c r="AF36" s="38">
        <f t="shared" si="2"/>
        <v>0</v>
      </c>
      <c r="AG36" s="38">
        <f t="shared" si="3"/>
        <v>0</v>
      </c>
    </row>
    <row r="37" spans="1:33" ht="21.65" customHeight="1" thickBot="1">
      <c r="A37" s="32"/>
      <c r="B37" s="5"/>
      <c r="C37" s="5"/>
      <c r="D37" s="22"/>
      <c r="AA37" s="35" t="b">
        <v>0</v>
      </c>
      <c r="AB37" s="35" t="b">
        <v>0</v>
      </c>
      <c r="AC37" s="36">
        <f t="shared" si="0"/>
        <v>0</v>
      </c>
      <c r="AD37" s="36">
        <f t="shared" si="0"/>
        <v>0</v>
      </c>
      <c r="AE37" s="36">
        <f t="shared" si="1"/>
        <v>0</v>
      </c>
      <c r="AF37" s="38">
        <f t="shared" si="2"/>
        <v>0</v>
      </c>
      <c r="AG37" s="38">
        <f t="shared" si="3"/>
        <v>0</v>
      </c>
    </row>
    <row r="38" spans="1:33" ht="21.65" customHeight="1" thickBot="1">
      <c r="A38" s="31" t="s">
        <v>34</v>
      </c>
      <c r="B38" s="13">
        <f>AF38</f>
        <v>0</v>
      </c>
      <c r="C38" s="13">
        <f>AG38</f>
        <v>0</v>
      </c>
      <c r="AC38" s="36" t="str">
        <f t="shared" si="0"/>
        <v/>
      </c>
      <c r="AD38" s="36" t="str">
        <f t="shared" si="0"/>
        <v/>
      </c>
      <c r="AF38" s="39">
        <f>SUM(AF28:AF37)</f>
        <v>0</v>
      </c>
      <c r="AG38" s="39">
        <f>SUM(AG28:AG37)</f>
        <v>0</v>
      </c>
    </row>
    <row r="39" spans="1:33" ht="21.65" customHeight="1" thickBot="1">
      <c r="A39" s="7" t="s">
        <v>0</v>
      </c>
      <c r="B39" s="8" t="s">
        <v>1</v>
      </c>
      <c r="C39" s="10" t="s">
        <v>2</v>
      </c>
      <c r="D39" s="9" t="s">
        <v>3</v>
      </c>
      <c r="AC39" s="36" t="str">
        <f t="shared" si="0"/>
        <v/>
      </c>
      <c r="AD39" s="36" t="str">
        <f t="shared" si="0"/>
        <v/>
      </c>
      <c r="AF39" s="38"/>
      <c r="AG39" s="38"/>
    </row>
    <row r="40" spans="1:33" ht="24" customHeight="1">
      <c r="A40" s="34" t="s">
        <v>35</v>
      </c>
      <c r="B40" s="2"/>
      <c r="C40" s="2"/>
      <c r="D40" s="20"/>
      <c r="AA40" s="35" t="b">
        <v>0</v>
      </c>
      <c r="AB40" s="35" t="b">
        <v>0</v>
      </c>
      <c r="AC40" s="36">
        <f t="shared" si="0"/>
        <v>0</v>
      </c>
      <c r="AD40" s="36">
        <f t="shared" si="0"/>
        <v>0</v>
      </c>
      <c r="AE40" s="36">
        <f t="shared" si="1"/>
        <v>0</v>
      </c>
      <c r="AF40" s="38">
        <f t="shared" si="2"/>
        <v>0</v>
      </c>
      <c r="AG40" s="38">
        <f t="shared" si="3"/>
        <v>0</v>
      </c>
    </row>
    <row r="41" spans="1:33" ht="24" customHeight="1">
      <c r="A41" s="34" t="s">
        <v>36</v>
      </c>
      <c r="B41" s="2"/>
      <c r="C41" s="2"/>
      <c r="D41" s="21"/>
      <c r="AA41" s="35" t="b">
        <v>0</v>
      </c>
      <c r="AB41" s="35" t="b">
        <v>0</v>
      </c>
      <c r="AC41" s="36">
        <f t="shared" si="0"/>
        <v>0</v>
      </c>
      <c r="AD41" s="36">
        <f t="shared" si="0"/>
        <v>0</v>
      </c>
      <c r="AE41" s="36">
        <f t="shared" si="1"/>
        <v>0</v>
      </c>
      <c r="AF41" s="38">
        <f t="shared" si="2"/>
        <v>0</v>
      </c>
      <c r="AG41" s="38">
        <f t="shared" si="3"/>
        <v>0</v>
      </c>
    </row>
    <row r="42" spans="1:33" ht="23.25" customHeight="1">
      <c r="A42" s="34" t="s">
        <v>37</v>
      </c>
      <c r="B42" s="2"/>
      <c r="C42" s="2"/>
      <c r="D42" s="21"/>
      <c r="AA42" s="35" t="b">
        <v>0</v>
      </c>
      <c r="AB42" s="35" t="b">
        <v>0</v>
      </c>
      <c r="AC42" s="36">
        <f t="shared" si="0"/>
        <v>0</v>
      </c>
      <c r="AD42" s="36">
        <f t="shared" si="0"/>
        <v>0</v>
      </c>
      <c r="AE42" s="36">
        <f t="shared" si="1"/>
        <v>0</v>
      </c>
      <c r="AF42" s="38">
        <f t="shared" si="2"/>
        <v>0</v>
      </c>
      <c r="AG42" s="38">
        <f t="shared" si="3"/>
        <v>0</v>
      </c>
    </row>
    <row r="43" spans="1:33" ht="24.75" customHeight="1">
      <c r="A43" s="34" t="s">
        <v>38</v>
      </c>
      <c r="B43" s="2"/>
      <c r="C43" s="2"/>
      <c r="D43" s="24"/>
      <c r="AA43" s="35" t="b">
        <v>0</v>
      </c>
      <c r="AB43" s="35" t="b">
        <v>0</v>
      </c>
      <c r="AC43" s="36">
        <f t="shared" si="0"/>
        <v>0</v>
      </c>
      <c r="AD43" s="36">
        <f t="shared" si="0"/>
        <v>0</v>
      </c>
      <c r="AE43" s="36">
        <f t="shared" si="1"/>
        <v>0</v>
      </c>
      <c r="AF43" s="38">
        <f t="shared" si="2"/>
        <v>0</v>
      </c>
      <c r="AG43" s="38">
        <f t="shared" si="3"/>
        <v>0</v>
      </c>
    </row>
    <row r="44" spans="1:33" ht="23.25" customHeight="1">
      <c r="A44" s="34" t="s">
        <v>39</v>
      </c>
      <c r="B44" s="28"/>
      <c r="C44" s="28"/>
      <c r="D44" s="29" t="s">
        <v>56</v>
      </c>
      <c r="AA44" s="35" t="b">
        <v>0</v>
      </c>
      <c r="AB44" s="35" t="b">
        <v>0</v>
      </c>
      <c r="AC44" s="36">
        <f t="shared" si="0"/>
        <v>0</v>
      </c>
      <c r="AD44" s="36">
        <f t="shared" si="0"/>
        <v>0</v>
      </c>
      <c r="AE44" s="36">
        <f t="shared" si="1"/>
        <v>0</v>
      </c>
      <c r="AF44" s="38">
        <f t="shared" si="2"/>
        <v>0</v>
      </c>
      <c r="AG44" s="38">
        <f t="shared" si="3"/>
        <v>0</v>
      </c>
    </row>
    <row r="45" spans="1:33" ht="24" customHeight="1">
      <c r="A45" s="34" t="s">
        <v>40</v>
      </c>
      <c r="B45" s="6"/>
      <c r="C45" s="6"/>
      <c r="D45" s="20"/>
      <c r="AA45" s="35" t="b">
        <v>0</v>
      </c>
      <c r="AB45" s="35" t="b">
        <v>0</v>
      </c>
      <c r="AC45" s="36">
        <f t="shared" si="0"/>
        <v>0</v>
      </c>
      <c r="AD45" s="36">
        <f t="shared" si="0"/>
        <v>0</v>
      </c>
      <c r="AE45" s="36">
        <f t="shared" si="1"/>
        <v>0</v>
      </c>
      <c r="AF45" s="38">
        <f t="shared" si="2"/>
        <v>0</v>
      </c>
      <c r="AG45" s="38">
        <f t="shared" si="3"/>
        <v>0</v>
      </c>
    </row>
    <row r="46" spans="1:33" ht="24" customHeight="1">
      <c r="A46" s="34" t="s">
        <v>41</v>
      </c>
      <c r="B46" s="2"/>
      <c r="C46" s="2"/>
      <c r="D46" s="21"/>
      <c r="AA46" s="35" t="b">
        <v>0</v>
      </c>
      <c r="AB46" s="35" t="b">
        <v>0</v>
      </c>
      <c r="AC46" s="36">
        <f t="shared" si="0"/>
        <v>0</v>
      </c>
      <c r="AD46" s="36">
        <f t="shared" si="0"/>
        <v>0</v>
      </c>
      <c r="AE46" s="36">
        <f t="shared" si="1"/>
        <v>0</v>
      </c>
      <c r="AF46" s="38">
        <f t="shared" si="2"/>
        <v>0</v>
      </c>
      <c r="AG46" s="38">
        <f t="shared" si="3"/>
        <v>0</v>
      </c>
    </row>
    <row r="47" spans="1:33" ht="21.65" customHeight="1">
      <c r="A47" s="26"/>
      <c r="B47" s="2"/>
      <c r="C47" s="2"/>
      <c r="D47" s="21"/>
      <c r="AA47" s="35" t="b">
        <v>0</v>
      </c>
      <c r="AB47" s="35" t="b">
        <v>0</v>
      </c>
      <c r="AC47" s="36">
        <f t="shared" si="0"/>
        <v>0</v>
      </c>
      <c r="AD47" s="36">
        <f t="shared" si="0"/>
        <v>0</v>
      </c>
      <c r="AE47" s="36">
        <f t="shared" si="1"/>
        <v>0</v>
      </c>
      <c r="AF47" s="38">
        <f t="shared" si="2"/>
        <v>0</v>
      </c>
      <c r="AG47" s="38">
        <f t="shared" si="3"/>
        <v>0</v>
      </c>
    </row>
    <row r="48" spans="1:33" ht="21.65" customHeight="1">
      <c r="A48" s="26"/>
      <c r="B48" s="2"/>
      <c r="C48" s="2"/>
      <c r="D48" s="21"/>
      <c r="AA48" s="35" t="b">
        <v>0</v>
      </c>
      <c r="AB48" s="35" t="b">
        <v>0</v>
      </c>
      <c r="AC48" s="36">
        <f t="shared" si="0"/>
        <v>0</v>
      </c>
      <c r="AD48" s="36">
        <f t="shared" si="0"/>
        <v>0</v>
      </c>
      <c r="AE48" s="36">
        <f t="shared" si="1"/>
        <v>0</v>
      </c>
      <c r="AF48" s="38">
        <f t="shared" si="2"/>
        <v>0</v>
      </c>
      <c r="AG48" s="38">
        <f t="shared" si="3"/>
        <v>0</v>
      </c>
    </row>
    <row r="49" spans="1:33" ht="21.65" customHeight="1" thickBot="1">
      <c r="A49" s="32"/>
      <c r="B49" s="5"/>
      <c r="C49" s="5"/>
      <c r="D49" s="22"/>
      <c r="AA49" s="35" t="b">
        <v>0</v>
      </c>
      <c r="AB49" s="35" t="b">
        <v>0</v>
      </c>
      <c r="AC49" s="36">
        <f t="shared" si="0"/>
        <v>0</v>
      </c>
      <c r="AD49" s="36">
        <f t="shared" si="0"/>
        <v>0</v>
      </c>
      <c r="AE49" s="36">
        <f t="shared" si="1"/>
        <v>0</v>
      </c>
      <c r="AF49" s="38">
        <f t="shared" si="2"/>
        <v>0</v>
      </c>
      <c r="AG49" s="38">
        <f t="shared" si="3"/>
        <v>0</v>
      </c>
    </row>
    <row r="50" spans="1:33" ht="21.65" customHeight="1" thickBot="1">
      <c r="A50" s="27" t="s">
        <v>42</v>
      </c>
      <c r="B50" s="13">
        <f>AF50</f>
        <v>0</v>
      </c>
      <c r="C50" s="13">
        <f>AG50</f>
        <v>0</v>
      </c>
      <c r="AC50" s="36" t="str">
        <f t="shared" si="0"/>
        <v/>
      </c>
      <c r="AD50" s="36" t="str">
        <f t="shared" si="0"/>
        <v/>
      </c>
      <c r="AF50" s="39">
        <f>SUM(AF40:AF49)</f>
        <v>0</v>
      </c>
      <c r="AG50" s="39">
        <f>SUM(AG40:AG49)</f>
        <v>0</v>
      </c>
    </row>
    <row r="51" spans="1:33" ht="21.65" customHeight="1" thickBot="1">
      <c r="A51" s="33" t="s">
        <v>15</v>
      </c>
      <c r="B51" s="8" t="s">
        <v>1</v>
      </c>
      <c r="C51" s="10" t="s">
        <v>2</v>
      </c>
      <c r="D51" s="9" t="s">
        <v>3</v>
      </c>
      <c r="AC51" s="36" t="str">
        <f t="shared" si="0"/>
        <v/>
      </c>
      <c r="AD51" s="36" t="str">
        <f t="shared" si="0"/>
        <v/>
      </c>
      <c r="AF51" s="38"/>
      <c r="AG51" s="38"/>
    </row>
    <row r="52" spans="1:33" ht="23.25" customHeight="1">
      <c r="A52" s="34" t="s">
        <v>43</v>
      </c>
      <c r="B52" s="6"/>
      <c r="C52" s="6"/>
      <c r="D52" s="20"/>
      <c r="AA52" s="35" t="b">
        <v>0</v>
      </c>
      <c r="AB52" s="35" t="b">
        <v>0</v>
      </c>
      <c r="AC52" s="36">
        <f t="shared" si="0"/>
        <v>0</v>
      </c>
      <c r="AD52" s="36">
        <f t="shared" si="0"/>
        <v>0</v>
      </c>
      <c r="AE52" s="36">
        <f t="shared" si="1"/>
        <v>0</v>
      </c>
      <c r="AF52" s="38">
        <f t="shared" si="2"/>
        <v>0</v>
      </c>
      <c r="AG52" s="38">
        <f t="shared" si="3"/>
        <v>0</v>
      </c>
    </row>
    <row r="53" spans="1:33" ht="21.65" customHeight="1">
      <c r="A53" s="34" t="s">
        <v>44</v>
      </c>
      <c r="B53" s="2"/>
      <c r="C53" s="2"/>
      <c r="D53" s="21"/>
      <c r="AA53" s="35" t="b">
        <v>0</v>
      </c>
      <c r="AB53" s="35" t="b">
        <v>0</v>
      </c>
      <c r="AC53" s="36">
        <f t="shared" si="0"/>
        <v>0</v>
      </c>
      <c r="AD53" s="36">
        <f t="shared" si="0"/>
        <v>0</v>
      </c>
      <c r="AE53" s="36">
        <f t="shared" si="1"/>
        <v>0</v>
      </c>
      <c r="AF53" s="38">
        <f t="shared" si="2"/>
        <v>0</v>
      </c>
      <c r="AG53" s="38">
        <f t="shared" si="3"/>
        <v>0</v>
      </c>
    </row>
    <row r="54" spans="1:33" ht="21.65" customHeight="1">
      <c r="A54" s="34" t="s">
        <v>45</v>
      </c>
      <c r="B54" s="2"/>
      <c r="C54" s="2"/>
      <c r="D54" s="21"/>
      <c r="AA54" s="35" t="b">
        <v>0</v>
      </c>
      <c r="AB54" s="35" t="b">
        <v>0</v>
      </c>
      <c r="AC54" s="36">
        <f t="shared" si="0"/>
        <v>0</v>
      </c>
      <c r="AD54" s="36">
        <f t="shared" si="0"/>
        <v>0</v>
      </c>
      <c r="AE54" s="36">
        <f t="shared" si="1"/>
        <v>0</v>
      </c>
      <c r="AF54" s="38">
        <f t="shared" si="2"/>
        <v>0</v>
      </c>
      <c r="AG54" s="38">
        <f t="shared" si="3"/>
        <v>0</v>
      </c>
    </row>
    <row r="55" spans="1:33" ht="24.75" customHeight="1">
      <c r="A55" s="34" t="s">
        <v>46</v>
      </c>
      <c r="B55" s="2"/>
      <c r="C55" s="2"/>
      <c r="D55" s="24"/>
      <c r="AA55" s="35" t="b">
        <v>0</v>
      </c>
      <c r="AB55" s="35" t="b">
        <v>0</v>
      </c>
      <c r="AC55" s="36">
        <f t="shared" si="0"/>
        <v>0</v>
      </c>
      <c r="AD55" s="36">
        <f t="shared" si="0"/>
        <v>0</v>
      </c>
      <c r="AE55" s="36">
        <f t="shared" si="1"/>
        <v>0</v>
      </c>
      <c r="AF55" s="38">
        <f t="shared" si="2"/>
        <v>0</v>
      </c>
      <c r="AG55" s="38">
        <f t="shared" si="3"/>
        <v>0</v>
      </c>
    </row>
    <row r="56" spans="1:33" ht="22.5" customHeight="1">
      <c r="A56" s="34" t="s">
        <v>47</v>
      </c>
      <c r="B56" s="28"/>
      <c r="C56" s="28"/>
      <c r="D56" s="29"/>
      <c r="AA56" s="35" t="b">
        <v>0</v>
      </c>
      <c r="AB56" s="35" t="b">
        <v>0</v>
      </c>
      <c r="AC56" s="36">
        <f t="shared" si="0"/>
        <v>0</v>
      </c>
      <c r="AD56" s="36">
        <f t="shared" si="0"/>
        <v>0</v>
      </c>
      <c r="AE56" s="36">
        <f t="shared" si="1"/>
        <v>0</v>
      </c>
      <c r="AF56" s="38">
        <f t="shared" si="2"/>
        <v>0</v>
      </c>
      <c r="AG56" s="38">
        <f t="shared" si="3"/>
        <v>0</v>
      </c>
    </row>
    <row r="57" spans="1:33" ht="23.25" customHeight="1">
      <c r="A57" s="34" t="s">
        <v>48</v>
      </c>
      <c r="B57" s="6"/>
      <c r="C57" s="6"/>
      <c r="D57" s="20"/>
      <c r="AA57" s="35" t="b">
        <v>0</v>
      </c>
      <c r="AB57" s="35" t="b">
        <v>0</v>
      </c>
      <c r="AC57" s="36">
        <f t="shared" si="0"/>
        <v>0</v>
      </c>
      <c r="AD57" s="36">
        <f t="shared" si="0"/>
        <v>0</v>
      </c>
      <c r="AE57" s="36">
        <f t="shared" si="1"/>
        <v>0</v>
      </c>
      <c r="AF57" s="38">
        <f t="shared" si="2"/>
        <v>0</v>
      </c>
      <c r="AG57" s="38">
        <f t="shared" si="3"/>
        <v>0</v>
      </c>
    </row>
    <row r="58" spans="1:33" ht="21.65" customHeight="1">
      <c r="A58" s="26"/>
      <c r="B58" s="2"/>
      <c r="C58" s="2"/>
      <c r="D58" s="21"/>
      <c r="AA58" s="35" t="b">
        <v>0</v>
      </c>
      <c r="AB58" s="35" t="b">
        <v>0</v>
      </c>
      <c r="AC58" s="36">
        <f t="shared" si="0"/>
        <v>0</v>
      </c>
      <c r="AD58" s="36">
        <f t="shared" si="0"/>
        <v>0</v>
      </c>
      <c r="AE58" s="36">
        <f t="shared" si="1"/>
        <v>0</v>
      </c>
      <c r="AF58" s="38">
        <f t="shared" si="2"/>
        <v>0</v>
      </c>
      <c r="AG58" s="38">
        <f t="shared" si="3"/>
        <v>0</v>
      </c>
    </row>
    <row r="59" spans="1:33" ht="21.65" customHeight="1">
      <c r="A59" s="26"/>
      <c r="B59" s="2"/>
      <c r="C59" s="2"/>
      <c r="D59" s="21"/>
      <c r="AA59" s="35" t="b">
        <v>0</v>
      </c>
      <c r="AB59" s="35" t="b">
        <v>0</v>
      </c>
      <c r="AC59" s="36">
        <f t="shared" si="0"/>
        <v>0</v>
      </c>
      <c r="AD59" s="36">
        <f t="shared" si="0"/>
        <v>0</v>
      </c>
      <c r="AE59" s="36">
        <f t="shared" si="1"/>
        <v>0</v>
      </c>
      <c r="AF59" s="38">
        <f t="shared" si="2"/>
        <v>0</v>
      </c>
      <c r="AG59" s="38">
        <f t="shared" si="3"/>
        <v>0</v>
      </c>
    </row>
    <row r="60" spans="1:33" ht="21.65" customHeight="1">
      <c r="A60" s="26"/>
      <c r="B60" s="2"/>
      <c r="C60" s="2"/>
      <c r="D60" s="21"/>
      <c r="AA60" s="35" t="b">
        <v>0</v>
      </c>
      <c r="AB60" s="35" t="b">
        <v>0</v>
      </c>
      <c r="AC60" s="36">
        <f t="shared" si="0"/>
        <v>0</v>
      </c>
      <c r="AD60" s="36">
        <f t="shared" si="0"/>
        <v>0</v>
      </c>
      <c r="AE60" s="36">
        <f t="shared" si="1"/>
        <v>0</v>
      </c>
      <c r="AF60" s="38">
        <f t="shared" si="2"/>
        <v>0</v>
      </c>
      <c r="AG60" s="38">
        <f t="shared" si="3"/>
        <v>0</v>
      </c>
    </row>
    <row r="61" spans="1:33" ht="21.65" customHeight="1" thickBot="1">
      <c r="A61" s="32"/>
      <c r="B61" s="5"/>
      <c r="C61" s="5"/>
      <c r="D61" s="22"/>
      <c r="AA61" s="35" t="b">
        <v>0</v>
      </c>
      <c r="AB61" s="35" t="b">
        <v>0</v>
      </c>
      <c r="AC61" s="36">
        <f t="shared" si="0"/>
        <v>0</v>
      </c>
      <c r="AD61" s="36">
        <f t="shared" si="0"/>
        <v>0</v>
      </c>
      <c r="AE61" s="36">
        <f t="shared" si="1"/>
        <v>0</v>
      </c>
      <c r="AF61" s="38">
        <f t="shared" si="2"/>
        <v>0</v>
      </c>
      <c r="AG61" s="38">
        <f t="shared" si="3"/>
        <v>0</v>
      </c>
    </row>
    <row r="62" spans="1:33" ht="21.65" customHeight="1" thickBot="1">
      <c r="A62" s="27" t="s">
        <v>49</v>
      </c>
      <c r="B62" s="13">
        <f>AF62</f>
        <v>0</v>
      </c>
      <c r="C62" s="13">
        <f>AG62</f>
        <v>0</v>
      </c>
      <c r="AC62" s="36" t="str">
        <f t="shared" si="0"/>
        <v/>
      </c>
      <c r="AD62" s="36" t="str">
        <f t="shared" si="0"/>
        <v/>
      </c>
      <c r="AF62" s="39">
        <f>SUM(AF52:AF61)</f>
        <v>0</v>
      </c>
      <c r="AG62" s="39">
        <f>SUM(AG52:AG61)</f>
        <v>0</v>
      </c>
    </row>
    <row r="63" spans="1:33" ht="21.65" customHeight="1" thickBot="1">
      <c r="A63" s="33" t="s">
        <v>15</v>
      </c>
      <c r="B63" s="8" t="s">
        <v>1</v>
      </c>
      <c r="C63" s="10" t="s">
        <v>2</v>
      </c>
      <c r="D63" s="9" t="s">
        <v>3</v>
      </c>
      <c r="AC63" s="36" t="str">
        <f t="shared" si="0"/>
        <v/>
      </c>
      <c r="AD63" s="36" t="str">
        <f t="shared" si="0"/>
        <v/>
      </c>
      <c r="AF63" s="38"/>
      <c r="AG63" s="38"/>
    </row>
    <row r="64" spans="1:33" ht="22.5" customHeight="1">
      <c r="A64" s="34" t="s">
        <v>50</v>
      </c>
      <c r="B64" s="6"/>
      <c r="C64" s="6"/>
      <c r="D64" s="20"/>
      <c r="AA64" s="35" t="b">
        <v>0</v>
      </c>
      <c r="AB64" s="35" t="b">
        <v>0</v>
      </c>
      <c r="AC64" s="36">
        <f t="shared" si="0"/>
        <v>0</v>
      </c>
      <c r="AD64" s="36">
        <f t="shared" si="0"/>
        <v>0</v>
      </c>
      <c r="AE64" s="36">
        <f t="shared" ref="AE64:AE73" si="4">SUM(AC64:AD64)</f>
        <v>0</v>
      </c>
      <c r="AF64" s="38">
        <f t="shared" ref="AF64:AF73" si="5">IF(AE64=1,AC64,0)</f>
        <v>0</v>
      </c>
      <c r="AG64" s="38">
        <f t="shared" ref="AG64:AG73" si="6">IF(AE64=1,AD64,0)</f>
        <v>0</v>
      </c>
    </row>
    <row r="65" spans="1:33" ht="22.5" customHeight="1">
      <c r="A65" s="34" t="s">
        <v>51</v>
      </c>
      <c r="B65" s="2"/>
      <c r="C65" s="2"/>
      <c r="D65" s="21"/>
      <c r="AA65" s="35" t="b">
        <v>0</v>
      </c>
      <c r="AB65" s="35" t="b">
        <v>0</v>
      </c>
      <c r="AC65" s="36">
        <f t="shared" si="0"/>
        <v>0</v>
      </c>
      <c r="AD65" s="36">
        <f t="shared" si="0"/>
        <v>0</v>
      </c>
      <c r="AE65" s="36">
        <f t="shared" si="4"/>
        <v>0</v>
      </c>
      <c r="AF65" s="38">
        <f t="shared" si="5"/>
        <v>0</v>
      </c>
      <c r="AG65" s="38">
        <f t="shared" si="6"/>
        <v>0</v>
      </c>
    </row>
    <row r="66" spans="1:33" ht="23.25" customHeight="1">
      <c r="A66" s="34" t="s">
        <v>52</v>
      </c>
      <c r="B66" s="2"/>
      <c r="C66" s="2"/>
      <c r="D66" s="21"/>
      <c r="AA66" s="35" t="b">
        <v>0</v>
      </c>
      <c r="AB66" s="35" t="b">
        <v>0</v>
      </c>
      <c r="AC66" s="36">
        <f t="shared" si="0"/>
        <v>0</v>
      </c>
      <c r="AD66" s="36">
        <f t="shared" si="0"/>
        <v>0</v>
      </c>
      <c r="AE66" s="36">
        <f t="shared" si="4"/>
        <v>0</v>
      </c>
      <c r="AF66" s="38">
        <f t="shared" si="5"/>
        <v>0</v>
      </c>
      <c r="AG66" s="38">
        <f t="shared" si="6"/>
        <v>0</v>
      </c>
    </row>
    <row r="67" spans="1:33" ht="24.75" customHeight="1">
      <c r="A67" s="34" t="s">
        <v>53</v>
      </c>
      <c r="B67" s="2"/>
      <c r="C67" s="2"/>
      <c r="D67" s="24"/>
      <c r="AA67" s="35" t="b">
        <v>0</v>
      </c>
      <c r="AB67" s="35" t="b">
        <v>0</v>
      </c>
      <c r="AC67" s="36">
        <f t="shared" si="0"/>
        <v>0</v>
      </c>
      <c r="AD67" s="36">
        <f t="shared" si="0"/>
        <v>0</v>
      </c>
      <c r="AE67" s="36">
        <f t="shared" si="4"/>
        <v>0</v>
      </c>
      <c r="AF67" s="38">
        <f t="shared" si="5"/>
        <v>0</v>
      </c>
      <c r="AG67" s="38">
        <f t="shared" si="6"/>
        <v>0</v>
      </c>
    </row>
    <row r="68" spans="1:33" ht="24" customHeight="1">
      <c r="A68" s="34" t="s">
        <v>54</v>
      </c>
      <c r="B68" s="28"/>
      <c r="C68" s="28"/>
      <c r="D68" s="29"/>
      <c r="AA68" s="35" t="b">
        <v>0</v>
      </c>
      <c r="AB68" s="35" t="b">
        <v>0</v>
      </c>
      <c r="AC68" s="36">
        <f t="shared" si="0"/>
        <v>0</v>
      </c>
      <c r="AD68" s="36">
        <f t="shared" si="0"/>
        <v>0</v>
      </c>
      <c r="AE68" s="36">
        <f t="shared" si="4"/>
        <v>0</v>
      </c>
      <c r="AF68" s="38">
        <f t="shared" si="5"/>
        <v>0</v>
      </c>
      <c r="AG68" s="38">
        <f t="shared" si="6"/>
        <v>0</v>
      </c>
    </row>
    <row r="69" spans="1:33" ht="21.65" customHeight="1">
      <c r="A69" s="34" t="s">
        <v>55</v>
      </c>
      <c r="B69" s="6"/>
      <c r="C69" s="6"/>
      <c r="D69" s="20"/>
      <c r="AA69" s="35" t="b">
        <v>0</v>
      </c>
      <c r="AB69" s="35" t="b">
        <v>0</v>
      </c>
      <c r="AC69" s="36">
        <f t="shared" si="0"/>
        <v>0</v>
      </c>
      <c r="AD69" s="36">
        <f t="shared" si="0"/>
        <v>0</v>
      </c>
      <c r="AE69" s="36">
        <f t="shared" si="4"/>
        <v>0</v>
      </c>
      <c r="AF69" s="38">
        <f t="shared" si="5"/>
        <v>0</v>
      </c>
      <c r="AG69" s="38">
        <f t="shared" si="6"/>
        <v>0</v>
      </c>
    </row>
    <row r="70" spans="1:33" ht="21.65" customHeight="1">
      <c r="A70" s="26"/>
      <c r="B70" s="2"/>
      <c r="C70" s="2"/>
      <c r="D70" s="21"/>
      <c r="AA70" s="35" t="b">
        <v>0</v>
      </c>
      <c r="AB70" s="35" t="b">
        <v>0</v>
      </c>
      <c r="AC70" s="36">
        <f t="shared" si="0"/>
        <v>0</v>
      </c>
      <c r="AD70" s="36">
        <f t="shared" si="0"/>
        <v>0</v>
      </c>
      <c r="AE70" s="36">
        <f t="shared" si="4"/>
        <v>0</v>
      </c>
      <c r="AF70" s="38">
        <f t="shared" si="5"/>
        <v>0</v>
      </c>
      <c r="AG70" s="38">
        <f t="shared" si="6"/>
        <v>0</v>
      </c>
    </row>
    <row r="71" spans="1:33" ht="21.65" customHeight="1">
      <c r="A71" s="26"/>
      <c r="B71" s="2"/>
      <c r="C71" s="2"/>
      <c r="D71" s="21"/>
      <c r="AA71" s="35" t="b">
        <v>0</v>
      </c>
      <c r="AB71" s="35" t="b">
        <v>0</v>
      </c>
      <c r="AC71" s="36">
        <f t="shared" si="0"/>
        <v>0</v>
      </c>
      <c r="AD71" s="36">
        <f t="shared" si="0"/>
        <v>0</v>
      </c>
      <c r="AE71" s="36">
        <f t="shared" si="4"/>
        <v>0</v>
      </c>
      <c r="AF71" s="38">
        <f t="shared" si="5"/>
        <v>0</v>
      </c>
      <c r="AG71" s="38">
        <f t="shared" si="6"/>
        <v>0</v>
      </c>
    </row>
    <row r="72" spans="1:33" ht="21.65" customHeight="1">
      <c r="A72" s="26"/>
      <c r="B72" s="2"/>
      <c r="C72" s="2"/>
      <c r="D72" s="21"/>
      <c r="AA72" s="35" t="b">
        <v>0</v>
      </c>
      <c r="AB72" s="35" t="b">
        <v>0</v>
      </c>
      <c r="AC72" s="36">
        <f t="shared" si="0"/>
        <v>0</v>
      </c>
      <c r="AD72" s="36">
        <f t="shared" si="0"/>
        <v>0</v>
      </c>
      <c r="AE72" s="36">
        <f t="shared" si="4"/>
        <v>0</v>
      </c>
      <c r="AF72" s="38">
        <f t="shared" si="5"/>
        <v>0</v>
      </c>
      <c r="AG72" s="38">
        <f t="shared" si="6"/>
        <v>0</v>
      </c>
    </row>
    <row r="73" spans="1:33" ht="21.65" customHeight="1" thickBot="1">
      <c r="A73" s="32"/>
      <c r="B73" s="5"/>
      <c r="C73" s="5"/>
      <c r="D73" s="22"/>
      <c r="AA73" s="35" t="b">
        <v>0</v>
      </c>
      <c r="AB73" s="35" t="b">
        <v>0</v>
      </c>
      <c r="AC73" s="36">
        <f t="shared" si="0"/>
        <v>0</v>
      </c>
      <c r="AD73" s="36">
        <f t="shared" si="0"/>
        <v>0</v>
      </c>
      <c r="AE73" s="36">
        <f t="shared" si="4"/>
        <v>0</v>
      </c>
      <c r="AF73" s="38">
        <f t="shared" si="5"/>
        <v>0</v>
      </c>
      <c r="AG73" s="38">
        <f t="shared" si="6"/>
        <v>0</v>
      </c>
    </row>
    <row r="74" spans="1:33" ht="21.65" customHeight="1">
      <c r="A74" s="11" t="s">
        <v>16</v>
      </c>
      <c r="B74" s="13">
        <f>AF74</f>
        <v>0</v>
      </c>
      <c r="C74" s="13">
        <f>AG74</f>
        <v>0</v>
      </c>
      <c r="AC74" s="36" t="str">
        <f t="shared" si="0"/>
        <v/>
      </c>
      <c r="AD74" s="36" t="str">
        <f t="shared" si="0"/>
        <v/>
      </c>
      <c r="AF74" s="39">
        <f>SUM(AF64:AF73)</f>
        <v>0</v>
      </c>
      <c r="AG74" s="39">
        <f>SUM(AG64:AG73)</f>
        <v>0</v>
      </c>
    </row>
    <row r="75" spans="1:33" ht="16" customHeight="1">
      <c r="A75" s="1" t="s">
        <v>4</v>
      </c>
    </row>
    <row r="76" spans="1:33" ht="41.5" customHeight="1">
      <c r="A76" s="45"/>
      <c r="B76" s="46"/>
      <c r="C76" s="46"/>
      <c r="D76" s="47"/>
      <c r="AF76" s="39">
        <f>SUM(AF26,AF38,AF50,AF62,AF74)</f>
        <v>0</v>
      </c>
      <c r="AG76" s="39">
        <f>SUM(AG26,AG38,AG50,AG62,AG74)</f>
        <v>0</v>
      </c>
    </row>
    <row r="77" spans="1:33" ht="21.65" customHeight="1">
      <c r="A77" s="40" t="s">
        <v>5</v>
      </c>
    </row>
    <row r="78" spans="1:33" ht="41.5" customHeight="1">
      <c r="A78" s="45"/>
      <c r="B78" s="46"/>
      <c r="C78" s="46"/>
      <c r="D78" s="47"/>
    </row>
    <row r="79" spans="1:33" ht="21.65" customHeight="1">
      <c r="A79" s="40" t="s">
        <v>6</v>
      </c>
    </row>
    <row r="80" spans="1:33" ht="41.5" customHeight="1">
      <c r="A80" s="45"/>
      <c r="B80" s="46"/>
      <c r="C80" s="46"/>
      <c r="D80" s="47"/>
    </row>
    <row r="82" spans="1:5">
      <c r="A82" s="14" t="s">
        <v>13</v>
      </c>
      <c r="B82" s="14" t="s">
        <v>14</v>
      </c>
    </row>
    <row r="84" spans="1:5" ht="14">
      <c r="A84" s="41" t="s">
        <v>64</v>
      </c>
      <c r="B84" s="16"/>
      <c r="C84" s="41"/>
      <c r="D84" s="43" t="s">
        <v>57</v>
      </c>
      <c r="E84" s="43"/>
    </row>
    <row r="85" spans="1:5">
      <c r="A85" s="42" t="s">
        <v>17</v>
      </c>
      <c r="C85" s="42"/>
      <c r="D85" s="44" t="s">
        <v>58</v>
      </c>
      <c r="E85" s="44"/>
    </row>
    <row r="86" spans="1:5">
      <c r="D86" s="40"/>
      <c r="E86" s="4"/>
    </row>
    <row r="87" spans="1:5">
      <c r="D87" s="40"/>
      <c r="E87" s="4"/>
    </row>
    <row r="88" spans="1:5" ht="14">
      <c r="D88" s="43" t="s">
        <v>60</v>
      </c>
      <c r="E88" s="43"/>
    </row>
    <row r="89" spans="1:5">
      <c r="D89" s="44" t="s">
        <v>59</v>
      </c>
      <c r="E89" s="44"/>
    </row>
  </sheetData>
  <sheetProtection algorithmName="SHA-512" hashValue="KRG1ujBjykvS43p0xqeUeW2pizHNTEDFCCBoxL+reUYbUDRfUCqUwBfIxRsIuhsUP1mwhopr8DSBgvhOJWhfcQ==" saltValue="5hnqib15ebIQK0beRJnrOg==" spinCount="100000" sheet="1" formatCells="0" formatColumns="0" formatRows="0"/>
  <mergeCells count="15">
    <mergeCell ref="D85:E85"/>
    <mergeCell ref="D88:E88"/>
    <mergeCell ref="D89:E89"/>
    <mergeCell ref="B12:D12"/>
    <mergeCell ref="B13:D13"/>
    <mergeCell ref="A76:D76"/>
    <mergeCell ref="A78:D78"/>
    <mergeCell ref="A80:D80"/>
    <mergeCell ref="D84:E84"/>
    <mergeCell ref="A5:D5"/>
    <mergeCell ref="A6:D6"/>
    <mergeCell ref="A7:D7"/>
    <mergeCell ref="A8:D8"/>
    <mergeCell ref="A10:D10"/>
    <mergeCell ref="B11:D11"/>
  </mergeCells>
  <conditionalFormatting sqref="B16:C16">
    <cfRule type="expression" dxfId="48" priority="49">
      <formula>$AE$16&gt;1</formula>
    </cfRule>
  </conditionalFormatting>
  <conditionalFormatting sqref="B17:C17">
    <cfRule type="expression" dxfId="47" priority="48">
      <formula>$AE$17&gt;1</formula>
    </cfRule>
  </conditionalFormatting>
  <conditionalFormatting sqref="B18:C18">
    <cfRule type="expression" dxfId="46" priority="15">
      <formula>$AE$18&gt;1</formula>
    </cfRule>
  </conditionalFormatting>
  <conditionalFormatting sqref="B19:C19">
    <cfRule type="expression" dxfId="45" priority="46">
      <formula>$AE$19&gt;1</formula>
    </cfRule>
  </conditionalFormatting>
  <conditionalFormatting sqref="B20:C20">
    <cfRule type="expression" dxfId="44" priority="47">
      <formula>$AE$20&gt;1</formula>
    </cfRule>
  </conditionalFormatting>
  <conditionalFormatting sqref="B21:C21">
    <cfRule type="expression" dxfId="43" priority="45">
      <formula>$AE$21&gt;1</formula>
    </cfRule>
  </conditionalFormatting>
  <conditionalFormatting sqref="B22:C22">
    <cfRule type="expression" dxfId="42" priority="44">
      <formula>$AE$22&gt;1</formula>
    </cfRule>
  </conditionalFormatting>
  <conditionalFormatting sqref="B23:C23">
    <cfRule type="expression" dxfId="41" priority="14">
      <formula>$AE$23&gt;1</formula>
    </cfRule>
  </conditionalFormatting>
  <conditionalFormatting sqref="B24:C24">
    <cfRule type="expression" dxfId="40" priority="43">
      <formula>$AE$24&gt;1</formula>
    </cfRule>
  </conditionalFormatting>
  <conditionalFormatting sqref="B25:C25">
    <cfRule type="expression" dxfId="39" priority="42">
      <formula>$AE$25&gt;1</formula>
    </cfRule>
  </conditionalFormatting>
  <conditionalFormatting sqref="B28:C28">
    <cfRule type="expression" dxfId="38" priority="41">
      <formula>$AE$28&gt;1</formula>
    </cfRule>
  </conditionalFormatting>
  <conditionalFormatting sqref="B29:C29">
    <cfRule type="expression" dxfId="37" priority="40">
      <formula>$AE$29&gt;1</formula>
    </cfRule>
  </conditionalFormatting>
  <conditionalFormatting sqref="B30:C30">
    <cfRule type="expression" dxfId="36" priority="39">
      <formula>$AE$30&gt;1</formula>
    </cfRule>
  </conditionalFormatting>
  <conditionalFormatting sqref="B31:C31">
    <cfRule type="expression" dxfId="35" priority="13">
      <formula>$AE$31&gt;1</formula>
    </cfRule>
  </conditionalFormatting>
  <conditionalFormatting sqref="B32:C32">
    <cfRule type="expression" dxfId="34" priority="38">
      <formula>$AE$32&gt;1</formula>
    </cfRule>
  </conditionalFormatting>
  <conditionalFormatting sqref="B33:C33">
    <cfRule type="expression" dxfId="33" priority="37">
      <formula>$AE$33&gt;1</formula>
    </cfRule>
  </conditionalFormatting>
  <conditionalFormatting sqref="B34:C34">
    <cfRule type="expression" dxfId="32" priority="36">
      <formula>$AE$34&gt;1</formula>
    </cfRule>
  </conditionalFormatting>
  <conditionalFormatting sqref="B35:C35">
    <cfRule type="expression" dxfId="31" priority="12">
      <formula>$AE$35&gt;1</formula>
    </cfRule>
  </conditionalFormatting>
  <conditionalFormatting sqref="B36:C36">
    <cfRule type="expression" dxfId="30" priority="35">
      <formula>$AE$36&gt;1</formula>
    </cfRule>
  </conditionalFormatting>
  <conditionalFormatting sqref="B37:C37">
    <cfRule type="expression" dxfId="29" priority="34">
      <formula>$AE$37&gt;1</formula>
    </cfRule>
  </conditionalFormatting>
  <conditionalFormatting sqref="B40:C40">
    <cfRule type="expression" dxfId="28" priority="33">
      <formula>$AE$40&gt;1</formula>
    </cfRule>
  </conditionalFormatting>
  <conditionalFormatting sqref="B41:C41">
    <cfRule type="expression" dxfId="27" priority="32">
      <formula>$AE$41&gt;1</formula>
    </cfRule>
  </conditionalFormatting>
  <conditionalFormatting sqref="B42:C42">
    <cfRule type="expression" dxfId="26" priority="31">
      <formula>$AE$42&gt;1</formula>
    </cfRule>
  </conditionalFormatting>
  <conditionalFormatting sqref="B43:C43">
    <cfRule type="expression" dxfId="25" priority="11">
      <formula>$AE$43&gt;1</formula>
    </cfRule>
  </conditionalFormatting>
  <conditionalFormatting sqref="B44:C44">
    <cfRule type="expression" dxfId="24" priority="30">
      <formula>$AE$44&gt;1</formula>
    </cfRule>
  </conditionalFormatting>
  <conditionalFormatting sqref="B45:C45">
    <cfRule type="expression" dxfId="23" priority="29">
      <formula>$AE$45&gt;1</formula>
    </cfRule>
  </conditionalFormatting>
  <conditionalFormatting sqref="B46:C46">
    <cfRule type="expression" dxfId="22" priority="28">
      <formula>$AE$46&gt;1</formula>
    </cfRule>
  </conditionalFormatting>
  <conditionalFormatting sqref="B47:C47">
    <cfRule type="expression" dxfId="21" priority="27">
      <formula>$AE$47&gt;1</formula>
    </cfRule>
  </conditionalFormatting>
  <conditionalFormatting sqref="B48:C48">
    <cfRule type="expression" dxfId="20" priority="26">
      <formula>$AE$48&gt;1</formula>
    </cfRule>
  </conditionalFormatting>
  <conditionalFormatting sqref="B49:C49">
    <cfRule type="expression" dxfId="19" priority="25">
      <formula>$AE$49&gt;1</formula>
    </cfRule>
  </conditionalFormatting>
  <conditionalFormatting sqref="B52:C52">
    <cfRule type="expression" dxfId="18" priority="19">
      <formula>$AE$52&gt;1</formula>
    </cfRule>
  </conditionalFormatting>
  <conditionalFormatting sqref="B53:C53">
    <cfRule type="expression" dxfId="17" priority="18">
      <formula>$AE$53&gt;1</formula>
    </cfRule>
  </conditionalFormatting>
  <conditionalFormatting sqref="B54:C54">
    <cfRule type="expression" dxfId="16" priority="17">
      <formula>$AE$54&gt;1</formula>
    </cfRule>
  </conditionalFormatting>
  <conditionalFormatting sqref="B55:C55">
    <cfRule type="expression" dxfId="15" priority="10">
      <formula>$AE$55&gt;1</formula>
    </cfRule>
  </conditionalFormatting>
  <conditionalFormatting sqref="B56:C56">
    <cfRule type="expression" dxfId="14" priority="16">
      <formula>$AE$56&gt;1</formula>
    </cfRule>
  </conditionalFormatting>
  <conditionalFormatting sqref="B57:C57">
    <cfRule type="expression" dxfId="13" priority="24">
      <formula>$AE$57&gt;1</formula>
    </cfRule>
  </conditionalFormatting>
  <conditionalFormatting sqref="B58:C58">
    <cfRule type="expression" dxfId="12" priority="23">
      <formula>$AE$58&gt;1</formula>
    </cfRule>
  </conditionalFormatting>
  <conditionalFormatting sqref="B59:C59">
    <cfRule type="expression" dxfId="11" priority="22">
      <formula>$AE$59&gt;1</formula>
    </cfRule>
  </conditionalFormatting>
  <conditionalFormatting sqref="B60:C60">
    <cfRule type="expression" dxfId="10" priority="21">
      <formula>$AE$60&gt;1</formula>
    </cfRule>
  </conditionalFormatting>
  <conditionalFormatting sqref="B61:C61 B73:C73">
    <cfRule type="expression" dxfId="9" priority="20">
      <formula>$AE$73&gt;1</formula>
    </cfRule>
  </conditionalFormatting>
  <conditionalFormatting sqref="B64:C64">
    <cfRule type="expression" dxfId="8" priority="5">
      <formula>$AE$64&gt;1</formula>
    </cfRule>
  </conditionalFormatting>
  <conditionalFormatting sqref="B65:C65">
    <cfRule type="expression" dxfId="7" priority="4">
      <formula>$AE$65&gt;1</formula>
    </cfRule>
  </conditionalFormatting>
  <conditionalFormatting sqref="B66:C66">
    <cfRule type="expression" dxfId="6" priority="3">
      <formula>$AE$66&gt;1</formula>
    </cfRule>
  </conditionalFormatting>
  <conditionalFormatting sqref="B67:C67">
    <cfRule type="expression" dxfId="5" priority="1">
      <formula>$AE$67&gt;1</formula>
    </cfRule>
  </conditionalFormatting>
  <conditionalFormatting sqref="B68:C68">
    <cfRule type="expression" dxfId="4" priority="2">
      <formula>$AE$68&gt;1</formula>
    </cfRule>
  </conditionalFormatting>
  <conditionalFormatting sqref="B69:C69">
    <cfRule type="expression" dxfId="3" priority="9">
      <formula>$AE$69&gt;1</formula>
    </cfRule>
  </conditionalFormatting>
  <conditionalFormatting sqref="B70:C70">
    <cfRule type="expression" dxfId="2" priority="8">
      <formula>$AE$70&gt;1</formula>
    </cfRule>
  </conditionalFormatting>
  <conditionalFormatting sqref="B71:C71">
    <cfRule type="expression" dxfId="1" priority="7">
      <formula>$AE$71&gt;1</formula>
    </cfRule>
  </conditionalFormatting>
  <conditionalFormatting sqref="B72:C72">
    <cfRule type="expression" dxfId="0" priority="6">
      <formula>$AE$72&gt;1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317500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69850</xdr:rowOff>
                  </from>
                  <to>
                    <xdr:col>1</xdr:col>
                    <xdr:colOff>298450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21</xdr:row>
                    <xdr:rowOff>69850</xdr:rowOff>
                  </from>
                  <to>
                    <xdr:col>1</xdr:col>
                    <xdr:colOff>279400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323850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298450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27</xdr:row>
                    <xdr:rowOff>69850</xdr:rowOff>
                  </from>
                  <to>
                    <xdr:col>1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69850</xdr:rowOff>
                  </from>
                  <to>
                    <xdr:col>1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69850</xdr:rowOff>
                  </from>
                  <to>
                    <xdr:col>1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41</xdr:row>
                    <xdr:rowOff>69850</xdr:rowOff>
                  </from>
                  <to>
                    <xdr:col>1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48</xdr:row>
                    <xdr:rowOff>69850</xdr:rowOff>
                  </from>
                  <to>
                    <xdr:col>1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55</xdr:row>
                    <xdr:rowOff>69850</xdr:rowOff>
                  </from>
                  <to>
                    <xdr:col>1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56</xdr:row>
                    <xdr:rowOff>69850</xdr:rowOff>
                  </from>
                  <to>
                    <xdr:col>1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323850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323850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323850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69850</xdr:rowOff>
                  </from>
                  <to>
                    <xdr:col>2</xdr:col>
                    <xdr:colOff>323850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69850</xdr:rowOff>
                  </from>
                  <to>
                    <xdr:col>2</xdr:col>
                    <xdr:colOff>323850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323850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323850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69850</xdr:rowOff>
                  </from>
                  <to>
                    <xdr:col>2</xdr:col>
                    <xdr:colOff>323850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69850</xdr:rowOff>
                  </from>
                  <to>
                    <xdr:col>2</xdr:col>
                    <xdr:colOff>323850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323850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323850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323850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323850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69850</xdr:rowOff>
                  </from>
                  <to>
                    <xdr:col>2</xdr:col>
                    <xdr:colOff>323850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323850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323850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323850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69850</xdr:rowOff>
                  </from>
                  <to>
                    <xdr:col>2</xdr:col>
                    <xdr:colOff>323850</xdr:colOff>
                    <xdr:row>41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323850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323850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323850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323850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323850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69850</xdr:rowOff>
                  </from>
                  <to>
                    <xdr:col>2</xdr:col>
                    <xdr:colOff>323850</xdr:colOff>
                    <xdr:row>48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323850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323850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323850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69850</xdr:rowOff>
                  </from>
                  <to>
                    <xdr:col>2</xdr:col>
                    <xdr:colOff>323850</xdr:colOff>
                    <xdr:row>55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69850</xdr:rowOff>
                  </from>
                  <to>
                    <xdr:col>2</xdr:col>
                    <xdr:colOff>323850</xdr:colOff>
                    <xdr:row>56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323850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323850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323850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323850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1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2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323850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3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317500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4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323850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5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323850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323850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323850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35</xdr:row>
                    <xdr:rowOff>69850</xdr:rowOff>
                  </from>
                  <to>
                    <xdr:col>1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69850</xdr:rowOff>
                  </from>
                  <to>
                    <xdr:col>2</xdr:col>
                    <xdr:colOff>323850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42</xdr:row>
                    <xdr:rowOff>69850</xdr:rowOff>
                  </from>
                  <to>
                    <xdr:col>1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69850</xdr:rowOff>
                  </from>
                  <to>
                    <xdr:col>2</xdr:col>
                    <xdr:colOff>323850</xdr:colOff>
                    <xdr:row>42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323850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63</xdr:row>
                    <xdr:rowOff>69850</xdr:rowOff>
                  </from>
                  <to>
                    <xdr:col>1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89" name="Check Box 86">
              <controlPr defaultSize="0" autoFill="0" autoLine="0" autoPict="0">
                <anchor moveWithCells="1">
                  <from>
                    <xdr:col>1</xdr:col>
                    <xdr:colOff>114300</xdr:colOff>
                    <xdr:row>69</xdr:row>
                    <xdr:rowOff>69850</xdr:rowOff>
                  </from>
                  <to>
                    <xdr:col>1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70</xdr:row>
                    <xdr:rowOff>69850</xdr:rowOff>
                  </from>
                  <to>
                    <xdr:col>1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91" name="Check Box 88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63</xdr:row>
                    <xdr:rowOff>69850</xdr:rowOff>
                  </from>
                  <to>
                    <xdr:col>2</xdr:col>
                    <xdr:colOff>323850</xdr:colOff>
                    <xdr:row>63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9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323850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9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323850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9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323850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9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323850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9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69</xdr:row>
                    <xdr:rowOff>69850</xdr:rowOff>
                  </from>
                  <to>
                    <xdr:col>2</xdr:col>
                    <xdr:colOff>323850</xdr:colOff>
                    <xdr:row>69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70</xdr:row>
                    <xdr:rowOff>69850</xdr:rowOff>
                  </from>
                  <to>
                    <xdr:col>2</xdr:col>
                    <xdr:colOff>323850</xdr:colOff>
                    <xdr:row>70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323850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323850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102" name="Check Box 99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323850</xdr:colOff>
                    <xdr:row>66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5:CJ25"/>
  <sheetViews>
    <sheetView showGridLines="0" workbookViewId="0">
      <selection activeCell="A1" sqref="A1"/>
    </sheetView>
  </sheetViews>
  <sheetFormatPr baseColWidth="8" defaultColWidth="9.33203125" defaultRowHeight="13.2"/>
  <cols>
    <col width="42" customWidth="1" min="1" max="1"/>
    <col width="6.66" customWidth="1" min="2" max="2"/>
    <col width="6.66" customWidth="1" min="3" max="3"/>
    <col width="6.66" customWidth="1" min="4" max="4"/>
    <col width="6.66" customWidth="1" min="5" max="5"/>
    <col width="6.66" customWidth="1" min="6" max="6"/>
    <col width="6.66" customWidth="1" min="7" max="7"/>
    <col width="6.66" customWidth="1" min="8" max="8"/>
    <col width="6" customWidth="1" min="9" max="9"/>
    <col width="10" customWidth="1" min="10" max="10"/>
    <col width="6.66" customWidth="1" min="11" max="11"/>
    <col width="6.66" customWidth="1" min="12" max="12"/>
    <col width="6.66" customWidth="1" min="13" max="13"/>
    <col width="6.66" customWidth="1" min="14" max="14"/>
    <col width="6.66" customWidth="1" min="15" max="15"/>
    <col width="6.66" customWidth="1" min="16" max="16"/>
    <col width="6.66" customWidth="1" min="17" max="17"/>
    <col width="6" customWidth="1" min="18" max="18"/>
    <col width="10" customWidth="1" min="19" max="19"/>
    <col width="6.66" customWidth="1" min="20" max="20"/>
    <col width="6.66" customWidth="1" min="21" max="21"/>
    <col width="6.66" customWidth="1" min="22" max="22"/>
    <col width="6.66" customWidth="1" min="23" max="23"/>
    <col width="6.66" customWidth="1" min="24" max="24"/>
    <col width="6.66" customWidth="1" min="25" max="25"/>
    <col width="6.66" customWidth="1" min="26" max="26"/>
    <col width="6" customWidth="1" min="27" max="27"/>
    <col width="10" customWidth="1" min="28" max="28"/>
    <col width="6.66" customWidth="1" min="29" max="29"/>
    <col width="6.66" customWidth="1" min="30" max="30"/>
    <col width="6.66" customWidth="1" min="31" max="31"/>
    <col width="6.66" customWidth="1" min="32" max="32"/>
    <col width="6.66" customWidth="1" min="33" max="33"/>
    <col width="6.66" customWidth="1" min="34" max="34"/>
    <col width="6.66" customWidth="1" min="35" max="35"/>
    <col width="6" customWidth="1" min="36" max="36"/>
    <col width="10" customWidth="1" min="37" max="37"/>
    <col width="6.66" customWidth="1" min="38" max="38"/>
    <col width="6.66" customWidth="1" min="39" max="39"/>
    <col width="6.66" customWidth="1" min="40" max="40"/>
    <col width="6.66" customWidth="1" min="41" max="41"/>
    <col width="6.66" customWidth="1" min="42" max="42"/>
    <col width="6.66" customWidth="1" min="43" max="43"/>
    <col width="6.66" customWidth="1" min="44" max="44"/>
    <col width="6" customWidth="1" min="45" max="45"/>
    <col width="10" customWidth="1" min="46" max="46"/>
    <col width="8" customWidth="1" min="48" max="48"/>
    <col width="8" customWidth="1" min="49" max="49"/>
    <col width="9.33" customWidth="1" min="86" max="86"/>
  </cols>
  <sheetData>
    <row r="5" ht="13.05" customHeight="1" s="145">
      <c r="A5" s="135" t="inlineStr">
        <is>
          <t>Republic of the Philippines</t>
        </is>
      </c>
    </row>
    <row r="6" ht="13.05" customHeight="1" s="145">
      <c r="A6" s="136" t="inlineStr">
        <is>
          <t>Department of Education</t>
        </is>
      </c>
    </row>
    <row r="7">
      <c r="A7" s="134" t="n"/>
      <c r="K7" s="134" t="n"/>
      <c r="R7" s="134" t="n"/>
      <c r="Y7" s="134" t="n"/>
    </row>
    <row r="8" ht="13.05" customHeight="1" s="145">
      <c r="A8" s="137" t="inlineStr">
        <is>
          <t>SCHOOLS DIVISION OF MANDAUE CITY</t>
        </is>
      </c>
    </row>
    <row r="9" ht="7.05" customHeight="1" s="145">
      <c r="A9" s="137" t="n"/>
      <c r="B9" s="137" t="n"/>
      <c r="C9" s="137" t="n"/>
      <c r="D9" s="137" t="n"/>
      <c r="I9" s="137" t="n"/>
      <c r="J9" s="137" t="n"/>
      <c r="K9" s="137" t="n"/>
      <c r="P9" s="137" t="n"/>
      <c r="Q9" s="137" t="n"/>
      <c r="R9" s="137" t="n"/>
      <c r="W9" s="137" t="n"/>
      <c r="X9" s="137" t="n"/>
      <c r="Y9" s="137" t="n"/>
    </row>
    <row r="10" ht="13.8" customHeight="1" s="145">
      <c r="A10" s="138" t="inlineStr">
        <is>
          <t>LEARNER DEVELOPMENT AND PROTECTION MONITORING CHECKLIST</t>
        </is>
      </c>
    </row>
    <row r="11" ht="13.8" customHeight="1" s="145"/>
    <row r="12" ht="27" customHeight="1" s="145">
      <c r="A12" s="132" t="inlineStr">
        <is>
          <t>SCHOOL</t>
        </is>
      </c>
      <c r="B12" s="126">
        <f>IF('TABOK ES I'!$A$14="","",'TABOK ES I'!$A$14)</f>
        <v/>
      </c>
      <c r="C12" s="146" t="n"/>
      <c r="D12" s="146" t="n"/>
      <c r="E12" s="146" t="n"/>
      <c r="F12" s="146" t="n"/>
      <c r="G12" s="146" t="n"/>
      <c r="H12" s="147" t="n"/>
      <c r="I12" s="128" t="inlineStr">
        <is>
          <t>Weighted Mean</t>
        </is>
      </c>
      <c r="J12" s="148" t="inlineStr">
        <is>
          <t>Description</t>
        </is>
      </c>
      <c r="K12" s="126">
        <f>IF('TABOK ES I'!$A$26="","",'TABOK ES I'!$A$26)</f>
        <v/>
      </c>
      <c r="L12" s="146" t="n"/>
      <c r="M12" s="146" t="n"/>
      <c r="N12" s="146" t="n"/>
      <c r="O12" s="146" t="n"/>
      <c r="P12" s="146" t="n"/>
      <c r="Q12" s="147" t="n"/>
      <c r="R12" s="128" t="inlineStr">
        <is>
          <t>Weighted Mean</t>
        </is>
      </c>
      <c r="S12" s="148" t="inlineStr">
        <is>
          <t>Description</t>
        </is>
      </c>
      <c r="T12" s="126">
        <f>IF('TABOK ES I'!$A$38="","",'TABOK ES I'!$A$38)</f>
        <v/>
      </c>
      <c r="U12" s="146" t="n"/>
      <c r="V12" s="146" t="n"/>
      <c r="W12" s="146" t="n"/>
      <c r="X12" s="146" t="n"/>
      <c r="Y12" s="146" t="n"/>
      <c r="Z12" s="147" t="n"/>
      <c r="AA12" s="128" t="inlineStr">
        <is>
          <t>Weighted Mean</t>
        </is>
      </c>
      <c r="AB12" s="148" t="inlineStr">
        <is>
          <t>Description</t>
        </is>
      </c>
      <c r="AC12" s="126">
        <f>IF('TABOK ES I'!$A$50="","",'TABOK ES I'!$A$50)</f>
        <v/>
      </c>
      <c r="AD12" s="146" t="n"/>
      <c r="AE12" s="146" t="n"/>
      <c r="AF12" s="146" t="n"/>
      <c r="AG12" s="146" t="n"/>
      <c r="AH12" s="146" t="n"/>
      <c r="AI12" s="147" t="n"/>
      <c r="AJ12" s="128" t="inlineStr">
        <is>
          <t>Weighted Mean</t>
        </is>
      </c>
      <c r="AK12" s="148" t="inlineStr">
        <is>
          <t>Description</t>
        </is>
      </c>
      <c r="AL12" s="126">
        <f>IF('TABOK ES I'!$A$62="","",'TABOK ES I'!$A$62)</f>
        <v/>
      </c>
      <c r="AM12" s="146" t="n"/>
      <c r="AN12" s="146" t="n"/>
      <c r="AO12" s="146" t="n"/>
      <c r="AP12" s="146" t="n"/>
      <c r="AQ12" s="146" t="n"/>
      <c r="AR12" s="147" t="n"/>
      <c r="AS12" s="128" t="inlineStr">
        <is>
          <t>Weighted Mean</t>
        </is>
      </c>
      <c r="AT12" s="148" t="inlineStr">
        <is>
          <t>Description</t>
        </is>
      </c>
      <c r="AV12" s="128" t="inlineStr">
        <is>
          <t>TOTAL YES</t>
        </is>
      </c>
      <c r="AW12" s="128" t="inlineStr">
        <is>
          <t>TOTAL NO</t>
        </is>
      </c>
    </row>
    <row r="13" ht="27" customHeight="1" s="145">
      <c r="A13" s="149" t="n"/>
      <c r="B13" s="100">
        <f>IF('TABOK ES I'!$A$16&lt;&gt;"","A.1.1","")</f>
        <v/>
      </c>
      <c r="C13" s="101">
        <f>IF('TABOK ES I'!$A$17&lt;&gt;"","A.1.2","")</f>
        <v/>
      </c>
      <c r="D13" s="101">
        <f>IF('TABOK ES I'!$A$18&lt;&gt;"","A.1.3","")</f>
        <v/>
      </c>
      <c r="E13" s="101">
        <f>IF('TABOK ES I'!$A$19&lt;&gt;"","A.1.4","")</f>
        <v/>
      </c>
      <c r="F13" s="101">
        <f>IF('TABOK ES I'!$A$20&lt;&gt;"","A.1.5","")</f>
        <v/>
      </c>
      <c r="G13" s="101">
        <f>IF('TABOK ES I'!$A$21&lt;&gt;"","A.1.6","")</f>
        <v/>
      </c>
      <c r="H13" s="101" t="n"/>
      <c r="I13" s="150" t="n"/>
      <c r="J13" s="151" t="n"/>
      <c r="K13" s="100">
        <f>IF('TABOK ES I'!$A$28&lt;&gt;"","B.1.1","")</f>
        <v/>
      </c>
      <c r="L13" s="101">
        <f>IF('TABOK ES I'!$A$29&lt;&gt;"","B.1.2","")</f>
        <v/>
      </c>
      <c r="M13" s="101">
        <f>IF('TABOK ES I'!$A$30&lt;&gt;"","B.1.3","")</f>
        <v/>
      </c>
      <c r="N13" s="101">
        <f>IF('TABOK ES I'!$A$31&lt;&gt;"","B.1.4","")</f>
        <v/>
      </c>
      <c r="O13" s="101">
        <f>IF('TABOK ES I'!$A$32&lt;&gt;"","B.1.5","")</f>
        <v/>
      </c>
      <c r="P13" s="101">
        <f>IF('TABOK ES I'!$A$33&lt;&gt;"","B.1.6","")</f>
        <v/>
      </c>
      <c r="Q13" s="101">
        <f>IF('TABOK ES I'!$A$34&lt;&gt;"","B.1.7","")</f>
        <v/>
      </c>
      <c r="R13" s="150" t="n"/>
      <c r="S13" s="151" t="n"/>
      <c r="T13" s="100">
        <f>IF('TABOK ES I'!$A$40&lt;&gt;"","C.1.1","")</f>
        <v/>
      </c>
      <c r="U13" s="101">
        <f>IF('TABOK ES I'!$A$41&lt;&gt;"","C.1.2","")</f>
        <v/>
      </c>
      <c r="V13" s="101">
        <f>IF('TABOK ES I'!$A$42&lt;&gt;"","C.1.3","")</f>
        <v/>
      </c>
      <c r="W13" s="101">
        <f>IF('TABOK ES I'!$A$43&lt;&gt;"","C.1.4","")</f>
        <v/>
      </c>
      <c r="X13" s="101">
        <f>IF('TABOK ES I'!$A$44&lt;&gt;"","C.1.5","")</f>
        <v/>
      </c>
      <c r="Y13" s="101">
        <f>IF('TABOK ES I'!$A$45&lt;&gt;"","C.1.6","")</f>
        <v/>
      </c>
      <c r="Z13" s="101">
        <f>IF('TABOK ES I'!$A$46&lt;&gt;"","C.1.7","")</f>
        <v/>
      </c>
      <c r="AA13" s="150" t="n"/>
      <c r="AB13" s="151" t="n"/>
      <c r="AC13" s="100">
        <f>IF('TABOK ES I'!$A$52&lt;&gt;"","D.1.1","")</f>
        <v/>
      </c>
      <c r="AD13" s="101">
        <f>IF('TABOK ES I'!$A$53&lt;&gt;"","D.1.2","")</f>
        <v/>
      </c>
      <c r="AE13" s="101">
        <f>IF('TABOK ES I'!$A$54&lt;&gt;"","D.1.3","")</f>
        <v/>
      </c>
      <c r="AF13" s="101">
        <f>IF('TABOK ES I'!$A$55&lt;&gt;"","D.1.4","")</f>
        <v/>
      </c>
      <c r="AG13" s="101">
        <f>IF('TABOK ES I'!$A$56&lt;&gt;"","D.1.5","")</f>
        <v/>
      </c>
      <c r="AH13" s="101">
        <f>IF('TABOK ES I'!$A$57&lt;&gt;"","D.1.6","")</f>
        <v/>
      </c>
      <c r="AI13" s="101" t="n"/>
      <c r="AJ13" s="150" t="n"/>
      <c r="AK13" s="151" t="n"/>
      <c r="AL13" s="100">
        <f>IF('TABOK ES I'!$A$64&lt;&gt;"","E.1.1","")</f>
        <v/>
      </c>
      <c r="AM13" s="101">
        <f>IF('TABOK ES I'!$A$65&lt;&gt;"","E.1.2","")</f>
        <v/>
      </c>
      <c r="AN13" s="101">
        <f>IF('TABOK ES I'!$A$66&lt;&gt;"","E.1.3","")</f>
        <v/>
      </c>
      <c r="AO13" s="101">
        <f>IF('TABOK ES I'!$A$67&lt;&gt;"","E.1.4","")</f>
        <v/>
      </c>
      <c r="AP13" s="101">
        <f>IF('TABOK ES I'!$A$68&lt;&gt;"","E.1.5","")</f>
        <v/>
      </c>
      <c r="AQ13" s="101">
        <f>IF('TABOK ES I'!$A$69&lt;&gt;"","E.1.6","")</f>
        <v/>
      </c>
      <c r="AR13" s="101" t="n"/>
      <c r="AS13" s="150" t="n"/>
      <c r="AT13" s="151" t="n"/>
      <c r="AV13" s="150" t="n"/>
      <c r="AW13" s="150" t="n"/>
    </row>
    <row r="14" ht="27" customHeight="1" s="145">
      <c r="A14" s="103">
        <f>IF('MAGUIKAY ES'!$B$11="","MAGUIKAY ELEMENTARY SCHOOL",'MAGUIKAY ES'!$B$11)</f>
        <v/>
      </c>
      <c r="B14" s="104">
        <f>IF(AND('MAGUIKAY ES'!$AA$16=TRUE,'MAGUIKAY ES'!$AB$16&lt;&gt;TRUE),1,IF(AND('MAGUIKAY ES'!$AB$16=TRUE,'MAGUIKAY ES'!$AA$16&lt;&gt;TRUE),2,""))</f>
        <v/>
      </c>
      <c r="C14" s="105">
        <f>IF(AND('MAGUIKAY ES'!$AA$17=TRUE,'MAGUIKAY ES'!$AB$17&lt;&gt;TRUE),1,IF(AND('MAGUIKAY ES'!$AB$17=TRUE,'MAGUIKAY ES'!$AA$17&lt;&gt;TRUE),2,""))</f>
        <v/>
      </c>
      <c r="D14" s="105">
        <f>IF(AND('MAGUIKAY ES'!$AA$18=TRUE,'MAGUIKAY ES'!$AB$18&lt;&gt;TRUE),1,IF(AND('MAGUIKAY ES'!$AB$18=TRUE,'MAGUIKAY ES'!$AA$18&lt;&gt;TRUE),2,""))</f>
        <v/>
      </c>
      <c r="E14" s="105">
        <f>IF(AND('MAGUIKAY ES'!$AA$19=TRUE,'MAGUIKAY ES'!$AB$19&lt;&gt;TRUE),1,IF(AND('MAGUIKAY ES'!$AB$19=TRUE,'MAGUIKAY ES'!$AA$19&lt;&gt;TRUE),2,""))</f>
        <v/>
      </c>
      <c r="F14" s="105">
        <f>IF(AND('MAGUIKAY ES'!$AA$20=TRUE,'MAGUIKAY ES'!$AB$20&lt;&gt;TRUE),1,IF(AND('MAGUIKAY ES'!$AB$20=TRUE,'MAGUIKAY ES'!$AA$20&lt;&gt;TRUE),2,""))</f>
        <v/>
      </c>
      <c r="G14" s="105">
        <f>IF(AND('MAGUIKAY ES'!$AA$21=TRUE,'MAGUIKAY ES'!$AB$21&lt;&gt;TRUE),1,IF(AND('MAGUIKAY ES'!$AB$21=TRUE,'MAGUIKAY ES'!$AA$21&lt;&gt;TRUE),2,""))</f>
        <v/>
      </c>
      <c r="H14" s="105" t="n"/>
      <c r="I14" s="106">
        <f>IFERROR(ROUND(AVERAGE(B14:H14),2), "")</f>
        <v/>
      </c>
      <c r="J14" s="107">
        <f>IF(I14="","",VLOOKUP(I14,$CH$14:$CK$17,3))</f>
        <v/>
      </c>
      <c r="K14" s="104">
        <f>IF(AND('MAGUIKAY ES'!$AA$28=TRUE,'MAGUIKAY ES'!$AB$28&lt;&gt;TRUE),1,IF(AND('MAGUIKAY ES'!$AB$28=TRUE,'MAGUIKAY ES'!$AA$28&lt;&gt;TRUE),2,""))</f>
        <v/>
      </c>
      <c r="L14" s="105">
        <f>IF(AND('MAGUIKAY ES'!$AA$29=TRUE,'MAGUIKAY ES'!$AB$29&lt;&gt;TRUE),1,IF(AND('MAGUIKAY ES'!$AB$29=TRUE,'MAGUIKAY ES'!$AA$29&lt;&gt;TRUE),2,""))</f>
        <v/>
      </c>
      <c r="M14" s="105">
        <f>IF(AND('MAGUIKAY ES'!$AA$30=TRUE,'MAGUIKAY ES'!$AB$30&lt;&gt;TRUE),1,IF(AND('MAGUIKAY ES'!$AB$30=TRUE,'MAGUIKAY ES'!$AA$30&lt;&gt;TRUE),2,""))</f>
        <v/>
      </c>
      <c r="N14" s="105">
        <f>IF(AND('MAGUIKAY ES'!$AA$31=TRUE,'MAGUIKAY ES'!$AB$31&lt;&gt;TRUE),1,IF(AND('MAGUIKAY ES'!$AB$31=TRUE,'MAGUIKAY ES'!$AA$31&lt;&gt;TRUE),2,""))</f>
        <v/>
      </c>
      <c r="O14" s="105">
        <f>IF(AND('MAGUIKAY ES'!$AA$32=TRUE,'MAGUIKAY ES'!$AB$32&lt;&gt;TRUE),1,IF(AND('MAGUIKAY ES'!$AB$32=TRUE,'MAGUIKAY ES'!$AA$32&lt;&gt;TRUE),2,""))</f>
        <v/>
      </c>
      <c r="P14" s="105">
        <f>IF(AND('MAGUIKAY ES'!$AA$33=TRUE,'MAGUIKAY ES'!$AB$33&lt;&gt;TRUE),1,IF(AND('MAGUIKAY ES'!$AB$33=TRUE,'MAGUIKAY ES'!$AA$33&lt;&gt;TRUE),2,""))</f>
        <v/>
      </c>
      <c r="Q14" s="105">
        <f>IF(AND('MAGUIKAY ES'!$AA$34=TRUE,'MAGUIKAY ES'!$AB$34&lt;&gt;TRUE),1,IF(AND('MAGUIKAY ES'!$AB$34=TRUE,'MAGUIKAY ES'!$AA$34&lt;&gt;TRUE),2,""))</f>
        <v/>
      </c>
      <c r="R14" s="106">
        <f>IFERROR(ROUND(AVERAGE(K14:Q14),2), "")</f>
        <v/>
      </c>
      <c r="S14" s="107">
        <f>IF(R14="","",VLOOKUP(R14,$CH$14:$CK$17,3))</f>
        <v/>
      </c>
      <c r="T14" s="104">
        <f>IF(AND('MAGUIKAY ES'!$AA$40=TRUE,'MAGUIKAY ES'!$AB$40&lt;&gt;TRUE),1,IF(AND('MAGUIKAY ES'!$AB$40=TRUE,'MAGUIKAY ES'!$AA$40&lt;&gt;TRUE),2,""))</f>
        <v/>
      </c>
      <c r="U14" s="105">
        <f>IF(AND('MAGUIKAY ES'!$AA$41=TRUE,'MAGUIKAY ES'!$AB$41&lt;&gt;TRUE),1,IF(AND('MAGUIKAY ES'!$AB$41=TRUE,'MAGUIKAY ES'!$AA$41&lt;&gt;TRUE),2,""))</f>
        <v/>
      </c>
      <c r="V14" s="105">
        <f>IF(AND('MAGUIKAY ES'!$AA$42=TRUE,'MAGUIKAY ES'!$AB$42&lt;&gt;TRUE),1,IF(AND('MAGUIKAY ES'!$AB$42=TRUE,'MAGUIKAY ES'!$AA$42&lt;&gt;TRUE),2,""))</f>
        <v/>
      </c>
      <c r="W14" s="105">
        <f>IF(AND('MAGUIKAY ES'!$AA$43=TRUE,'MAGUIKAY ES'!$AB$43&lt;&gt;TRUE),1,IF(AND('MAGUIKAY ES'!$AB$43=TRUE,'MAGUIKAY ES'!$AA$43&lt;&gt;TRUE),2,""))</f>
        <v/>
      </c>
      <c r="X14" s="105">
        <f>IF(AND('MAGUIKAY ES'!$AA$44=TRUE,'MAGUIKAY ES'!$AB$44&lt;&gt;TRUE),1,IF(AND('MAGUIKAY ES'!$AB$44=TRUE,'MAGUIKAY ES'!$AA$44&lt;&gt;TRUE),2,""))</f>
        <v/>
      </c>
      <c r="Y14" s="105">
        <f>IF(AND('MAGUIKAY ES'!$AA$45=TRUE,'MAGUIKAY ES'!$AB$45&lt;&gt;TRUE),1,IF(AND('MAGUIKAY ES'!$AB$45=TRUE,'MAGUIKAY ES'!$AA$45&lt;&gt;TRUE),2,""))</f>
        <v/>
      </c>
      <c r="Z14" s="105">
        <f>IF(AND('MAGUIKAY ES'!$AA$46=TRUE,'MAGUIKAY ES'!$AB$46&lt;&gt;TRUE),1,IF(AND('MAGUIKAY ES'!$AB$46=TRUE,'MAGUIKAY ES'!$AA$46&lt;&gt;TRUE),2,""))</f>
        <v/>
      </c>
      <c r="AA14" s="106">
        <f>IFERROR(ROUND(AVERAGE(T14:Z14),2), "")</f>
        <v/>
      </c>
      <c r="AB14" s="107">
        <f>IF(AA14="","",VLOOKUP(AA14,$CH$14:$CK$17,3))</f>
        <v/>
      </c>
      <c r="AC14" s="104">
        <f>IF(AND('MAGUIKAY ES'!$AA$52=TRUE,'MAGUIKAY ES'!$AB$52&lt;&gt;TRUE),1,IF(AND('MAGUIKAY ES'!$AB$52=TRUE,'MAGUIKAY ES'!$AA$52&lt;&gt;TRUE),2,""))</f>
        <v/>
      </c>
      <c r="AD14" s="105">
        <f>IF(AND('MAGUIKAY ES'!$AA$53=TRUE,'MAGUIKAY ES'!$AB$53&lt;&gt;TRUE),1,IF(AND('MAGUIKAY ES'!$AB$53=TRUE,'MAGUIKAY ES'!$AA$53&lt;&gt;TRUE),2,""))</f>
        <v/>
      </c>
      <c r="AE14" s="105">
        <f>IF(AND('MAGUIKAY ES'!$AA$54=TRUE,'MAGUIKAY ES'!$AB$54&lt;&gt;TRUE),1,IF(AND('MAGUIKAY ES'!$AB$54=TRUE,'MAGUIKAY ES'!$AA$54&lt;&gt;TRUE),2,""))</f>
        <v/>
      </c>
      <c r="AF14" s="105">
        <f>IF(AND('MAGUIKAY ES'!$AA$55=TRUE,'MAGUIKAY ES'!$AB$55&lt;&gt;TRUE),1,IF(AND('MAGUIKAY ES'!$AB$55=TRUE,'MAGUIKAY ES'!$AA$55&lt;&gt;TRUE),2,""))</f>
        <v/>
      </c>
      <c r="AG14" s="105">
        <f>IF(AND('MAGUIKAY ES'!$AA$56=TRUE,'MAGUIKAY ES'!$AB$56&lt;&gt;TRUE),1,IF(AND('MAGUIKAY ES'!$AB$56=TRUE,'MAGUIKAY ES'!$AA$56&lt;&gt;TRUE),2,""))</f>
        <v/>
      </c>
      <c r="AH14" s="105">
        <f>IF(AND('MAGUIKAY ES'!$AA$57=TRUE,'MAGUIKAY ES'!$AB$57&lt;&gt;TRUE),1,IF(AND('MAGUIKAY ES'!$AB$57=TRUE,'MAGUIKAY ES'!$AA$57&lt;&gt;TRUE),2,""))</f>
        <v/>
      </c>
      <c r="AI14" s="105" t="n"/>
      <c r="AJ14" s="106">
        <f>IFERROR(ROUND(AVERAGE(AC14:AI14),2), "")</f>
        <v/>
      </c>
      <c r="AK14" s="107">
        <f>IF(AJ14="","",VLOOKUP(AJ14,$CH$14:$CK$17,3))</f>
        <v/>
      </c>
      <c r="AL14" s="104">
        <f>IF(AND('MAGUIKAY ES'!$AA$64=TRUE,'MAGUIKAY ES'!$AB$64&lt;&gt;TRUE),1,IF(AND('MAGUIKAY ES'!$AB$64=TRUE,'MAGUIKAY ES'!$AA$64&lt;&gt;TRUE),2,""))</f>
        <v/>
      </c>
      <c r="AM14" s="105">
        <f>IF(AND('MAGUIKAY ES'!$AA$65=TRUE,'MAGUIKAY ES'!$AB$65&lt;&gt;TRUE),1,IF(AND('MAGUIKAY ES'!$AB$65=TRUE,'MAGUIKAY ES'!$AA$65&lt;&gt;TRUE),2,""))</f>
        <v/>
      </c>
      <c r="AN14" s="105">
        <f>IF(AND('MAGUIKAY ES'!$AA$66=TRUE,'MAGUIKAY ES'!$AB$66&lt;&gt;TRUE),1,IF(AND('MAGUIKAY ES'!$AB$66=TRUE,'MAGUIKAY ES'!$AA$66&lt;&gt;TRUE),2,""))</f>
        <v/>
      </c>
      <c r="AO14" s="105">
        <f>IF(AND('MAGUIKAY ES'!$AA$67=TRUE,'MAGUIKAY ES'!$AB$67&lt;&gt;TRUE),1,IF(AND('MAGUIKAY ES'!$AB$67=TRUE,'MAGUIKAY ES'!$AA$67&lt;&gt;TRUE),2,""))</f>
        <v/>
      </c>
      <c r="AP14" s="105">
        <f>IF(AND('MAGUIKAY ES'!$AA$68=TRUE,'MAGUIKAY ES'!$AB$68&lt;&gt;TRUE),1,IF(AND('MAGUIKAY ES'!$AB$68=TRUE,'MAGUIKAY ES'!$AA$68&lt;&gt;TRUE),2,""))</f>
        <v/>
      </c>
      <c r="AQ14" s="105">
        <f>IF(AND('MAGUIKAY ES'!$AA$69=TRUE,'MAGUIKAY ES'!$AB$69&lt;&gt;TRUE),1,IF(AND('MAGUIKAY ES'!$AB$69=TRUE,'MAGUIKAY ES'!$AA$69&lt;&gt;TRUE),2,""))</f>
        <v/>
      </c>
      <c r="AR14" s="105" t="n"/>
      <c r="AS14" s="106">
        <f>IFERROR(ROUND(AVERAGE(AL14:AR14),2), "")</f>
        <v/>
      </c>
      <c r="AT14" s="107">
        <f>IF(AS14="","",VLOOKUP(AS14,$CH$14:$CK$17,3))</f>
        <v/>
      </c>
      <c r="AV14" s="106">
        <f>COUNTIF(B14:H14,1)+COUNTIF(K14:Q14,1)+COUNTIF(T14:Z14,1)+COUNTIF(AC14:AI14,1)+COUNTIF(AL14:AR14,1)</f>
        <v/>
      </c>
      <c r="AW14" s="106">
        <f>COUNTIF(B14:H14,2)+COUNTIF(K14:Q14,2)+COUNTIF(T14:Z14,2)+COUNTIF(AC14:AI14,2)+COUNTIF(AL14:AR14,2)</f>
        <v/>
      </c>
      <c r="CH14" s="99" t="n">
        <v>1</v>
      </c>
      <c r="CI14" s="99" t="n">
        <v>1.25</v>
      </c>
      <c r="CJ14" s="109" t="inlineStr">
        <is>
          <t>Fully Implemented</t>
        </is>
      </c>
    </row>
    <row r="15" ht="27" customHeight="1" s="145">
      <c r="A15" s="110">
        <f>IF('CABANCALAN I ES'!$B$11="","CABANCALAN ELEMENTARY SCHOOL 1",'CABANCALAN I ES'!$B$11)</f>
        <v/>
      </c>
      <c r="B15" s="111">
        <f>IF(AND('CABANCALAN I ES'!$AA$16=TRUE,'CABANCALAN I ES'!$AB$16&lt;&gt;TRUE),1,IF(AND('CABANCALAN I ES'!$AB$16=TRUE,'CABANCALAN I ES'!$AA$16&lt;&gt;TRUE),2,""))</f>
        <v/>
      </c>
      <c r="C15" s="112">
        <f>IF(AND('CABANCALAN I ES'!$AA$17=TRUE,'CABANCALAN I ES'!$AB$17&lt;&gt;TRUE),1,IF(AND('CABANCALAN I ES'!$AB$17=TRUE,'CABANCALAN I ES'!$AA$17&lt;&gt;TRUE),2,""))</f>
        <v/>
      </c>
      <c r="D15" s="112">
        <f>IF(AND('CABANCALAN I ES'!$AA$18=TRUE,'CABANCALAN I ES'!$AB$18&lt;&gt;TRUE),1,IF(AND('CABANCALAN I ES'!$AB$18=TRUE,'CABANCALAN I ES'!$AA$18&lt;&gt;TRUE),2,""))</f>
        <v/>
      </c>
      <c r="E15" s="112">
        <f>IF(AND('CABANCALAN I ES'!$AA$19=TRUE,'CABANCALAN I ES'!$AB$19&lt;&gt;TRUE),1,IF(AND('CABANCALAN I ES'!$AB$19=TRUE,'CABANCALAN I ES'!$AA$19&lt;&gt;TRUE),2,""))</f>
        <v/>
      </c>
      <c r="F15" s="112">
        <f>IF(AND('CABANCALAN I ES'!$AA$20=TRUE,'CABANCALAN I ES'!$AB$20&lt;&gt;TRUE),1,IF(AND('CABANCALAN I ES'!$AB$20=TRUE,'CABANCALAN I ES'!$AA$20&lt;&gt;TRUE),2,""))</f>
        <v/>
      </c>
      <c r="G15" s="112">
        <f>IF(AND('CABANCALAN I ES'!$AA$21=TRUE,'CABANCALAN I ES'!$AB$21&lt;&gt;TRUE),1,IF(AND('CABANCALAN I ES'!$AB$21=TRUE,'CABANCALAN I ES'!$AA$21&lt;&gt;TRUE),2,""))</f>
        <v/>
      </c>
      <c r="H15" s="112" t="n"/>
      <c r="I15" s="106">
        <f>IFERROR(ROUND(AVERAGE(B15:H15),2), "")</f>
        <v/>
      </c>
      <c r="J15" s="107">
        <f>IF(I15="","",VLOOKUP(I15,$CH$14:$CK$17,3))</f>
        <v/>
      </c>
      <c r="K15" s="111">
        <f>IF(AND('CABANCALAN I ES'!$AA$28=TRUE,'CABANCALAN I ES'!$AB$28&lt;&gt;TRUE),1,IF(AND('CABANCALAN I ES'!$AB$28=TRUE,'CABANCALAN I ES'!$AA$28&lt;&gt;TRUE),2,""))</f>
        <v/>
      </c>
      <c r="L15" s="112">
        <f>IF(AND('CABANCALAN I ES'!$AA$29=TRUE,'CABANCALAN I ES'!$AB$29&lt;&gt;TRUE),1,IF(AND('CABANCALAN I ES'!$AB$29=TRUE,'CABANCALAN I ES'!$AA$29&lt;&gt;TRUE),2,""))</f>
        <v/>
      </c>
      <c r="M15" s="112">
        <f>IF(AND('CABANCALAN I ES'!$AA$30=TRUE,'CABANCALAN I ES'!$AB$30&lt;&gt;TRUE),1,IF(AND('CABANCALAN I ES'!$AB$30=TRUE,'CABANCALAN I ES'!$AA$30&lt;&gt;TRUE),2,""))</f>
        <v/>
      </c>
      <c r="N15" s="112">
        <f>IF(AND('CABANCALAN I ES'!$AA$31=TRUE,'CABANCALAN I ES'!$AB$31&lt;&gt;TRUE),1,IF(AND('CABANCALAN I ES'!$AB$31=TRUE,'CABANCALAN I ES'!$AA$31&lt;&gt;TRUE),2,""))</f>
        <v/>
      </c>
      <c r="O15" s="112">
        <f>IF(AND('CABANCALAN I ES'!$AA$32=TRUE,'CABANCALAN I ES'!$AB$32&lt;&gt;TRUE),1,IF(AND('CABANCALAN I ES'!$AB$32=TRUE,'CABANCALAN I ES'!$AA$32&lt;&gt;TRUE),2,""))</f>
        <v/>
      </c>
      <c r="P15" s="112">
        <f>IF(AND('CABANCALAN I ES'!$AA$33=TRUE,'CABANCALAN I ES'!$AB$33&lt;&gt;TRUE),1,IF(AND('CABANCALAN I ES'!$AB$33=TRUE,'CABANCALAN I ES'!$AA$33&lt;&gt;TRUE),2,""))</f>
        <v/>
      </c>
      <c r="Q15" s="112">
        <f>IF(AND('CABANCALAN I ES'!$AA$34=TRUE,'CABANCALAN I ES'!$AB$34&lt;&gt;TRUE),1,IF(AND('CABANCALAN I ES'!$AB$34=TRUE,'CABANCALAN I ES'!$AA$34&lt;&gt;TRUE),2,""))</f>
        <v/>
      </c>
      <c r="R15" s="106">
        <f>IFERROR(ROUND(AVERAGE(K15:Q15),2), "")</f>
        <v/>
      </c>
      <c r="S15" s="107">
        <f>IF(R15="","",VLOOKUP(R15,$CH$14:$CK$17,3))</f>
        <v/>
      </c>
      <c r="T15" s="111">
        <f>IF(AND('CABANCALAN I ES'!$AA$40=TRUE,'CABANCALAN I ES'!$AB$40&lt;&gt;TRUE),1,IF(AND('CABANCALAN I ES'!$AB$40=TRUE,'CABANCALAN I ES'!$AA$40&lt;&gt;TRUE),2,""))</f>
        <v/>
      </c>
      <c r="U15" s="112">
        <f>IF(AND('CABANCALAN I ES'!$AA$41=TRUE,'CABANCALAN I ES'!$AB$41&lt;&gt;TRUE),1,IF(AND('CABANCALAN I ES'!$AB$41=TRUE,'CABANCALAN I ES'!$AA$41&lt;&gt;TRUE),2,""))</f>
        <v/>
      </c>
      <c r="V15" s="112">
        <f>IF(AND('CABANCALAN I ES'!$AA$42=TRUE,'CABANCALAN I ES'!$AB$42&lt;&gt;TRUE),1,IF(AND('CABANCALAN I ES'!$AB$42=TRUE,'CABANCALAN I ES'!$AA$42&lt;&gt;TRUE),2,""))</f>
        <v/>
      </c>
      <c r="W15" s="112">
        <f>IF(AND('CABANCALAN I ES'!$AA$43=TRUE,'CABANCALAN I ES'!$AB$43&lt;&gt;TRUE),1,IF(AND('CABANCALAN I ES'!$AB$43=TRUE,'CABANCALAN I ES'!$AA$43&lt;&gt;TRUE),2,""))</f>
        <v/>
      </c>
      <c r="X15" s="112">
        <f>IF(AND('CABANCALAN I ES'!$AA$44=TRUE,'CABANCALAN I ES'!$AB$44&lt;&gt;TRUE),1,IF(AND('CABANCALAN I ES'!$AB$44=TRUE,'CABANCALAN I ES'!$AA$44&lt;&gt;TRUE),2,""))</f>
        <v/>
      </c>
      <c r="Y15" s="112">
        <f>IF(AND('CABANCALAN I ES'!$AA$45=TRUE,'CABANCALAN I ES'!$AB$45&lt;&gt;TRUE),1,IF(AND('CABANCALAN I ES'!$AB$45=TRUE,'CABANCALAN I ES'!$AA$45&lt;&gt;TRUE),2,""))</f>
        <v/>
      </c>
      <c r="Z15" s="112">
        <f>IF(AND('CABANCALAN I ES'!$AA$46=TRUE,'CABANCALAN I ES'!$AB$46&lt;&gt;TRUE),1,IF(AND('CABANCALAN I ES'!$AB$46=TRUE,'CABANCALAN I ES'!$AA$46&lt;&gt;TRUE),2,""))</f>
        <v/>
      </c>
      <c r="AA15" s="106">
        <f>IFERROR(ROUND(AVERAGE(T15:Z15),2), "")</f>
        <v/>
      </c>
      <c r="AB15" s="107">
        <f>IF(AA15="","",VLOOKUP(AA15,$CH$14:$CK$17,3))</f>
        <v/>
      </c>
      <c r="AC15" s="111">
        <f>IF(AND('CABANCALAN I ES'!$AA$52=TRUE,'CABANCALAN I ES'!$AB$52&lt;&gt;TRUE),1,IF(AND('CABANCALAN I ES'!$AB$52=TRUE,'CABANCALAN I ES'!$AA$52&lt;&gt;TRUE),2,""))</f>
        <v/>
      </c>
      <c r="AD15" s="112">
        <f>IF(AND('CABANCALAN I ES'!$AA$53=TRUE,'CABANCALAN I ES'!$AB$53&lt;&gt;TRUE),1,IF(AND('CABANCALAN I ES'!$AB$53=TRUE,'CABANCALAN I ES'!$AA$53&lt;&gt;TRUE),2,""))</f>
        <v/>
      </c>
      <c r="AE15" s="112">
        <f>IF(AND('CABANCALAN I ES'!$AA$54=TRUE,'CABANCALAN I ES'!$AB$54&lt;&gt;TRUE),1,IF(AND('CABANCALAN I ES'!$AB$54=TRUE,'CABANCALAN I ES'!$AA$54&lt;&gt;TRUE),2,""))</f>
        <v/>
      </c>
      <c r="AF15" s="112">
        <f>IF(AND('CABANCALAN I ES'!$AA$55=TRUE,'CABANCALAN I ES'!$AB$55&lt;&gt;TRUE),1,IF(AND('CABANCALAN I ES'!$AB$55=TRUE,'CABANCALAN I ES'!$AA$55&lt;&gt;TRUE),2,""))</f>
        <v/>
      </c>
      <c r="AG15" s="112">
        <f>IF(AND('CABANCALAN I ES'!$AA$56=TRUE,'CABANCALAN I ES'!$AB$56&lt;&gt;TRUE),1,IF(AND('CABANCALAN I ES'!$AB$56=TRUE,'CABANCALAN I ES'!$AA$56&lt;&gt;TRUE),2,""))</f>
        <v/>
      </c>
      <c r="AH15" s="112">
        <f>IF(AND('CABANCALAN I ES'!$AA$57=TRUE,'CABANCALAN I ES'!$AB$57&lt;&gt;TRUE),1,IF(AND('CABANCALAN I ES'!$AB$57=TRUE,'CABANCALAN I ES'!$AA$57&lt;&gt;TRUE),2,""))</f>
        <v/>
      </c>
      <c r="AI15" s="112" t="n"/>
      <c r="AJ15" s="106">
        <f>IFERROR(ROUND(AVERAGE(AC15:AI15),2), "")</f>
        <v/>
      </c>
      <c r="AK15" s="107">
        <f>IF(AJ15="","",VLOOKUP(AJ15,$CH$14:$CK$17,3))</f>
        <v/>
      </c>
      <c r="AL15" s="111">
        <f>IF(AND('CABANCALAN I ES'!$AA$64=TRUE,'CABANCALAN I ES'!$AB$64&lt;&gt;TRUE),1,IF(AND('CABANCALAN I ES'!$AB$64=TRUE,'CABANCALAN I ES'!$AA$64&lt;&gt;TRUE),2,""))</f>
        <v/>
      </c>
      <c r="AM15" s="112">
        <f>IF(AND('CABANCALAN I ES'!$AA$65=TRUE,'CABANCALAN I ES'!$AB$65&lt;&gt;TRUE),1,IF(AND('CABANCALAN I ES'!$AB$65=TRUE,'CABANCALAN I ES'!$AA$65&lt;&gt;TRUE),2,""))</f>
        <v/>
      </c>
      <c r="AN15" s="112">
        <f>IF(AND('CABANCALAN I ES'!$AA$66=TRUE,'CABANCALAN I ES'!$AB$66&lt;&gt;TRUE),1,IF(AND('CABANCALAN I ES'!$AB$66=TRUE,'CABANCALAN I ES'!$AA$66&lt;&gt;TRUE),2,""))</f>
        <v/>
      </c>
      <c r="AO15" s="112">
        <f>IF(AND('CABANCALAN I ES'!$AA$67=TRUE,'CABANCALAN I ES'!$AB$67&lt;&gt;TRUE),1,IF(AND('CABANCALAN I ES'!$AB$67=TRUE,'CABANCALAN I ES'!$AA$67&lt;&gt;TRUE),2,""))</f>
        <v/>
      </c>
      <c r="AP15" s="112">
        <f>IF(AND('CABANCALAN I ES'!$AA$68=TRUE,'CABANCALAN I ES'!$AB$68&lt;&gt;TRUE),1,IF(AND('CABANCALAN I ES'!$AB$68=TRUE,'CABANCALAN I ES'!$AA$68&lt;&gt;TRUE),2,""))</f>
        <v/>
      </c>
      <c r="AQ15" s="112">
        <f>IF(AND('CABANCALAN I ES'!$AA$69=TRUE,'CABANCALAN I ES'!$AB$69&lt;&gt;TRUE),1,IF(AND('CABANCALAN I ES'!$AB$69=TRUE,'CABANCALAN I ES'!$AA$69&lt;&gt;TRUE),2,""))</f>
        <v/>
      </c>
      <c r="AR15" s="112" t="n"/>
      <c r="AS15" s="106">
        <f>IFERROR(ROUND(AVERAGE(AL15:AR15),2), "")</f>
        <v/>
      </c>
      <c r="AT15" s="107">
        <f>IF(AS15="","",VLOOKUP(AS15,$CH$14:$CK$17,3))</f>
        <v/>
      </c>
      <c r="AV15" s="106">
        <f>COUNTIF(B15:H15,1)+COUNTIF(K15:Q15,1)+COUNTIF(T15:Z15,1)+COUNTIF(AC15:AI15,1)+COUNTIF(AL15:AR15,1)</f>
        <v/>
      </c>
      <c r="AW15" s="106">
        <f>COUNTIF(B15:H15,2)+COUNTIF(K15:Q15,2)+COUNTIF(T15:Z15,2)+COUNTIF(AC15:AI15,2)+COUNTIF(AL15:AR15,2)</f>
        <v/>
      </c>
      <c r="CH15" s="99" t="n">
        <v>1.26</v>
      </c>
      <c r="CI15" s="99" t="n">
        <v>1.5</v>
      </c>
      <c r="CJ15" s="109" t="inlineStr">
        <is>
          <t>Implemented</t>
        </is>
      </c>
    </row>
    <row r="16" ht="27" customHeight="1" s="145">
      <c r="A16" s="110">
        <f>IF('TABOK ES I'!$B$11="","TABOK ELEMENTARY SCHOOL 1",'TABOK ES I'!$B$11)</f>
        <v/>
      </c>
      <c r="B16" s="111">
        <f>IF(AND('TABOK ES I'!$AA$16=TRUE,'TABOK ES I'!$AB$16&lt;&gt;TRUE),1,IF(AND('TABOK ES I'!$AB$16=TRUE,'TABOK ES I'!$AA$16&lt;&gt;TRUE),2,""))</f>
        <v/>
      </c>
      <c r="C16" s="112">
        <f>IF(AND('TABOK ES I'!$AA$17=TRUE,'TABOK ES I'!$AB$17&lt;&gt;TRUE),1,IF(AND('TABOK ES I'!$AB$17=TRUE,'TABOK ES I'!$AA$17&lt;&gt;TRUE),2,""))</f>
        <v/>
      </c>
      <c r="D16" s="112">
        <f>IF(AND('TABOK ES I'!$AA$18=TRUE,'TABOK ES I'!$AB$18&lt;&gt;TRUE),1,IF(AND('TABOK ES I'!$AB$18=TRUE,'TABOK ES I'!$AA$18&lt;&gt;TRUE),2,""))</f>
        <v/>
      </c>
      <c r="E16" s="112">
        <f>IF(AND('TABOK ES I'!$AA$19=TRUE,'TABOK ES I'!$AB$19&lt;&gt;TRUE),1,IF(AND('TABOK ES I'!$AB$19=TRUE,'TABOK ES I'!$AA$19&lt;&gt;TRUE),2,""))</f>
        <v/>
      </c>
      <c r="F16" s="112">
        <f>IF(AND('TABOK ES I'!$AA$20=TRUE,'TABOK ES I'!$AB$20&lt;&gt;TRUE),1,IF(AND('TABOK ES I'!$AB$20=TRUE,'TABOK ES I'!$AA$20&lt;&gt;TRUE),2,""))</f>
        <v/>
      </c>
      <c r="G16" s="112">
        <f>IF(AND('TABOK ES I'!$AA$21=TRUE,'TABOK ES I'!$AB$21&lt;&gt;TRUE),1,IF(AND('TABOK ES I'!$AB$21=TRUE,'TABOK ES I'!$AA$21&lt;&gt;TRUE),2,""))</f>
        <v/>
      </c>
      <c r="H16" s="112" t="n"/>
      <c r="I16" s="106">
        <f>IFERROR(ROUND(AVERAGE(B16:H16),2), "")</f>
        <v/>
      </c>
      <c r="J16" s="107">
        <f>IF(I16="","",VLOOKUP(I16,$CH$14:$CK$17,3))</f>
        <v/>
      </c>
      <c r="K16" s="111">
        <f>IF(AND('TABOK ES I'!$AA$28=TRUE,'TABOK ES I'!$AB$28&lt;&gt;TRUE),1,IF(AND('TABOK ES I'!$AB$28=TRUE,'TABOK ES I'!$AA$28&lt;&gt;TRUE),2,""))</f>
        <v/>
      </c>
      <c r="L16" s="112">
        <f>IF(AND('TABOK ES I'!$AA$29=TRUE,'TABOK ES I'!$AB$29&lt;&gt;TRUE),1,IF(AND('TABOK ES I'!$AB$29=TRUE,'TABOK ES I'!$AA$29&lt;&gt;TRUE),2,""))</f>
        <v/>
      </c>
      <c r="M16" s="112">
        <f>IF(AND('TABOK ES I'!$AA$30=TRUE,'TABOK ES I'!$AB$30&lt;&gt;TRUE),1,IF(AND('TABOK ES I'!$AB$30=TRUE,'TABOK ES I'!$AA$30&lt;&gt;TRUE),2,""))</f>
        <v/>
      </c>
      <c r="N16" s="112">
        <f>IF(AND('TABOK ES I'!$AA$31=TRUE,'TABOK ES I'!$AB$31&lt;&gt;TRUE),1,IF(AND('TABOK ES I'!$AB$31=TRUE,'TABOK ES I'!$AA$31&lt;&gt;TRUE),2,""))</f>
        <v/>
      </c>
      <c r="O16" s="112">
        <f>IF(AND('TABOK ES I'!$AA$32=TRUE,'TABOK ES I'!$AB$32&lt;&gt;TRUE),1,IF(AND('TABOK ES I'!$AB$32=TRUE,'TABOK ES I'!$AA$32&lt;&gt;TRUE),2,""))</f>
        <v/>
      </c>
      <c r="P16" s="112">
        <f>IF(AND('TABOK ES I'!$AA$33=TRUE,'TABOK ES I'!$AB$33&lt;&gt;TRUE),1,IF(AND('TABOK ES I'!$AB$33=TRUE,'TABOK ES I'!$AA$33&lt;&gt;TRUE),2,""))</f>
        <v/>
      </c>
      <c r="Q16" s="112">
        <f>IF(AND('TABOK ES I'!$AA$34=TRUE,'TABOK ES I'!$AB$34&lt;&gt;TRUE),1,IF(AND('TABOK ES I'!$AB$34=TRUE,'TABOK ES I'!$AA$34&lt;&gt;TRUE),2,""))</f>
        <v/>
      </c>
      <c r="R16" s="106">
        <f>IFERROR(ROUND(AVERAGE(K16:Q16),2), "")</f>
        <v/>
      </c>
      <c r="S16" s="107">
        <f>IF(R16="","",VLOOKUP(R16,$CH$14:$CK$17,3))</f>
        <v/>
      </c>
      <c r="T16" s="111">
        <f>IF(AND('TABOK ES I'!$AA$40=TRUE,'TABOK ES I'!$AB$40&lt;&gt;TRUE),1,IF(AND('TABOK ES I'!$AB$40=TRUE,'TABOK ES I'!$AA$40&lt;&gt;TRUE),2,""))</f>
        <v/>
      </c>
      <c r="U16" s="112">
        <f>IF(AND('TABOK ES I'!$AA$41=TRUE,'TABOK ES I'!$AB$41&lt;&gt;TRUE),1,IF(AND('TABOK ES I'!$AB$41=TRUE,'TABOK ES I'!$AA$41&lt;&gt;TRUE),2,""))</f>
        <v/>
      </c>
      <c r="V16" s="112">
        <f>IF(AND('TABOK ES I'!$AA$42=TRUE,'TABOK ES I'!$AB$42&lt;&gt;TRUE),1,IF(AND('TABOK ES I'!$AB$42=TRUE,'TABOK ES I'!$AA$42&lt;&gt;TRUE),2,""))</f>
        <v/>
      </c>
      <c r="W16" s="112">
        <f>IF(AND('TABOK ES I'!$AA$43=TRUE,'TABOK ES I'!$AB$43&lt;&gt;TRUE),1,IF(AND('TABOK ES I'!$AB$43=TRUE,'TABOK ES I'!$AA$43&lt;&gt;TRUE),2,""))</f>
        <v/>
      </c>
      <c r="X16" s="112">
        <f>IF(AND('TABOK ES I'!$AA$44=TRUE,'TABOK ES I'!$AB$44&lt;&gt;TRUE),1,IF(AND('TABOK ES I'!$AB$44=TRUE,'TABOK ES I'!$AA$44&lt;&gt;TRUE),2,""))</f>
        <v/>
      </c>
      <c r="Y16" s="112">
        <f>IF(AND('TABOK ES I'!$AA$45=TRUE,'TABOK ES I'!$AB$45&lt;&gt;TRUE),1,IF(AND('TABOK ES I'!$AB$45=TRUE,'TABOK ES I'!$AA$45&lt;&gt;TRUE),2,""))</f>
        <v/>
      </c>
      <c r="Z16" s="112">
        <f>IF(AND('TABOK ES I'!$AA$46=TRUE,'TABOK ES I'!$AB$46&lt;&gt;TRUE),1,IF(AND('TABOK ES I'!$AB$46=TRUE,'TABOK ES I'!$AA$46&lt;&gt;TRUE),2,""))</f>
        <v/>
      </c>
      <c r="AA16" s="106">
        <f>IFERROR(ROUND(AVERAGE(T16:Z16),2), "")</f>
        <v/>
      </c>
      <c r="AB16" s="107">
        <f>IF(AA16="","",VLOOKUP(AA16,$CH$14:$CK$17,3))</f>
        <v/>
      </c>
      <c r="AC16" s="111">
        <f>IF(AND('TABOK ES I'!$AA$52=TRUE,'TABOK ES I'!$AB$52&lt;&gt;TRUE),1,IF(AND('TABOK ES I'!$AB$52=TRUE,'TABOK ES I'!$AA$52&lt;&gt;TRUE),2,""))</f>
        <v/>
      </c>
      <c r="AD16" s="112">
        <f>IF(AND('TABOK ES I'!$AA$53=TRUE,'TABOK ES I'!$AB$53&lt;&gt;TRUE),1,IF(AND('TABOK ES I'!$AB$53=TRUE,'TABOK ES I'!$AA$53&lt;&gt;TRUE),2,""))</f>
        <v/>
      </c>
      <c r="AE16" s="112">
        <f>IF(AND('TABOK ES I'!$AA$54=TRUE,'TABOK ES I'!$AB$54&lt;&gt;TRUE),1,IF(AND('TABOK ES I'!$AB$54=TRUE,'TABOK ES I'!$AA$54&lt;&gt;TRUE),2,""))</f>
        <v/>
      </c>
      <c r="AF16" s="112">
        <f>IF(AND('TABOK ES I'!$AA$55=TRUE,'TABOK ES I'!$AB$55&lt;&gt;TRUE),1,IF(AND('TABOK ES I'!$AB$55=TRUE,'TABOK ES I'!$AA$55&lt;&gt;TRUE),2,""))</f>
        <v/>
      </c>
      <c r="AG16" s="112">
        <f>IF(AND('TABOK ES I'!$AA$56=TRUE,'TABOK ES I'!$AB$56&lt;&gt;TRUE),1,IF(AND('TABOK ES I'!$AB$56=TRUE,'TABOK ES I'!$AA$56&lt;&gt;TRUE),2,""))</f>
        <v/>
      </c>
      <c r="AH16" s="112">
        <f>IF(AND('TABOK ES I'!$AA$57=TRUE,'TABOK ES I'!$AB$57&lt;&gt;TRUE),1,IF(AND('TABOK ES I'!$AB$57=TRUE,'TABOK ES I'!$AA$57&lt;&gt;TRUE),2,""))</f>
        <v/>
      </c>
      <c r="AI16" s="112" t="n"/>
      <c r="AJ16" s="106">
        <f>IFERROR(ROUND(AVERAGE(AC16:AI16),2), "")</f>
        <v/>
      </c>
      <c r="AK16" s="107">
        <f>IF(AJ16="","",VLOOKUP(AJ16,$CH$14:$CK$17,3))</f>
        <v/>
      </c>
      <c r="AL16" s="111">
        <f>IF(AND('TABOK ES I'!$AA$64=TRUE,'TABOK ES I'!$AB$64&lt;&gt;TRUE),1,IF(AND('TABOK ES I'!$AB$64=TRUE,'TABOK ES I'!$AA$64&lt;&gt;TRUE),2,""))</f>
        <v/>
      </c>
      <c r="AM16" s="112">
        <f>IF(AND('TABOK ES I'!$AA$65=TRUE,'TABOK ES I'!$AB$65&lt;&gt;TRUE),1,IF(AND('TABOK ES I'!$AB$65=TRUE,'TABOK ES I'!$AA$65&lt;&gt;TRUE),2,""))</f>
        <v/>
      </c>
      <c r="AN16" s="112">
        <f>IF(AND('TABOK ES I'!$AA$66=TRUE,'TABOK ES I'!$AB$66&lt;&gt;TRUE),1,IF(AND('TABOK ES I'!$AB$66=TRUE,'TABOK ES I'!$AA$66&lt;&gt;TRUE),2,""))</f>
        <v/>
      </c>
      <c r="AO16" s="112">
        <f>IF(AND('TABOK ES I'!$AA$67=TRUE,'TABOK ES I'!$AB$67&lt;&gt;TRUE),1,IF(AND('TABOK ES I'!$AB$67=TRUE,'TABOK ES I'!$AA$67&lt;&gt;TRUE),2,""))</f>
        <v/>
      </c>
      <c r="AP16" s="112">
        <f>IF(AND('TABOK ES I'!$AA$68=TRUE,'TABOK ES I'!$AB$68&lt;&gt;TRUE),1,IF(AND('TABOK ES I'!$AB$68=TRUE,'TABOK ES I'!$AA$68&lt;&gt;TRUE),2,""))</f>
        <v/>
      </c>
      <c r="AQ16" s="112">
        <f>IF(AND('TABOK ES I'!$AA$69=TRUE,'TABOK ES I'!$AB$69&lt;&gt;TRUE),1,IF(AND('TABOK ES I'!$AB$69=TRUE,'TABOK ES I'!$AA$69&lt;&gt;TRUE),2,""))</f>
        <v/>
      </c>
      <c r="AR16" s="112" t="n"/>
      <c r="AS16" s="106">
        <f>IFERROR(ROUND(AVERAGE(AL16:AR16),2), "")</f>
        <v/>
      </c>
      <c r="AT16" s="107">
        <f>IF(AS16="","",VLOOKUP(AS16,$CH$14:$CK$17,3))</f>
        <v/>
      </c>
      <c r="AV16" s="106">
        <f>COUNTIF(B16:H16,1)+COUNTIF(K16:Q16,1)+COUNTIF(T16:Z16,1)+COUNTIF(AC16:AI16,1)+COUNTIF(AL16:AR16,1)</f>
        <v/>
      </c>
      <c r="AW16" s="106">
        <f>COUNTIF(B16:H16,2)+COUNTIF(K16:Q16,2)+COUNTIF(T16:Z16,2)+COUNTIF(AC16:AI16,2)+COUNTIF(AL16:AR16,2)</f>
        <v/>
      </c>
      <c r="CH16" s="99" t="n">
        <v>1.51</v>
      </c>
      <c r="CI16" s="99" t="n">
        <v>1.75</v>
      </c>
      <c r="CJ16" s="109" t="inlineStr">
        <is>
          <t>Partially Implemented</t>
        </is>
      </c>
    </row>
    <row r="17" ht="27" customHeight="1" s="145">
      <c r="A17" s="110">
        <f>IF('TABOK ES II'!$B$11="","TABOK ELEMENTARY SCHOOL II",'TABOK ES II'!$B$11)</f>
        <v/>
      </c>
      <c r="B17" s="111">
        <f>IF(AND('TABOK ES II'!$AA$16=TRUE,'TABOK ES II'!$AB$16&lt;&gt;TRUE),1,IF(AND('TABOK ES II'!$AB$16=TRUE,'TABOK ES II'!$AA$16&lt;&gt;TRUE),2,""))</f>
        <v/>
      </c>
      <c r="C17" s="112">
        <f>IF(AND('TABOK ES II'!$AA$17=TRUE,'TABOK ES II'!$AB$17&lt;&gt;TRUE),1,IF(AND('TABOK ES II'!$AB$17=TRUE,'TABOK ES II'!$AA$17&lt;&gt;TRUE),2,""))</f>
        <v/>
      </c>
      <c r="D17" s="112">
        <f>IF(AND('TABOK ES II'!$AA$18=TRUE,'TABOK ES II'!$AB$18&lt;&gt;TRUE),1,IF(AND('TABOK ES II'!$AB$18=TRUE,'TABOK ES II'!$AA$18&lt;&gt;TRUE),2,""))</f>
        <v/>
      </c>
      <c r="E17" s="112">
        <f>IF(AND('TABOK ES II'!$AA$19=TRUE,'TABOK ES II'!$AB$19&lt;&gt;TRUE),1,IF(AND('TABOK ES II'!$AB$19=TRUE,'TABOK ES II'!$AA$19&lt;&gt;TRUE),2,""))</f>
        <v/>
      </c>
      <c r="F17" s="112">
        <f>IF(AND('TABOK ES II'!$AA$20=TRUE,'TABOK ES II'!$AB$20&lt;&gt;TRUE),1,IF(AND('TABOK ES II'!$AB$20=TRUE,'TABOK ES II'!$AA$20&lt;&gt;TRUE),2,""))</f>
        <v/>
      </c>
      <c r="G17" s="112">
        <f>IF(AND('TABOK ES II'!$AA$21=TRUE,'TABOK ES II'!$AB$21&lt;&gt;TRUE),1,IF(AND('TABOK ES II'!$AB$21=TRUE,'TABOK ES II'!$AA$21&lt;&gt;TRUE),2,""))</f>
        <v/>
      </c>
      <c r="H17" s="112" t="n"/>
      <c r="I17" s="106">
        <f>IFERROR(ROUND(AVERAGE(B17:H17),2), "")</f>
        <v/>
      </c>
      <c r="J17" s="107">
        <f>IF(I17="","",VLOOKUP(I17,$CH$14:$CK$17,3))</f>
        <v/>
      </c>
      <c r="K17" s="111">
        <f>IF(AND('TABOK ES II'!$AA$28=TRUE,'TABOK ES II'!$AB$28&lt;&gt;TRUE),1,IF(AND('TABOK ES II'!$AB$28=TRUE,'TABOK ES II'!$AA$28&lt;&gt;TRUE),2,""))</f>
        <v/>
      </c>
      <c r="L17" s="112">
        <f>IF(AND('TABOK ES II'!$AA$29=TRUE,'TABOK ES II'!$AB$29&lt;&gt;TRUE),1,IF(AND('TABOK ES II'!$AB$29=TRUE,'TABOK ES II'!$AA$29&lt;&gt;TRUE),2,""))</f>
        <v/>
      </c>
      <c r="M17" s="112">
        <f>IF(AND('TABOK ES II'!$AA$30=TRUE,'TABOK ES II'!$AB$30&lt;&gt;TRUE),1,IF(AND('TABOK ES II'!$AB$30=TRUE,'TABOK ES II'!$AA$30&lt;&gt;TRUE),2,""))</f>
        <v/>
      </c>
      <c r="N17" s="112">
        <f>IF(AND('TABOK ES II'!$AA$31=TRUE,'TABOK ES II'!$AB$31&lt;&gt;TRUE),1,IF(AND('TABOK ES II'!$AB$31=TRUE,'TABOK ES II'!$AA$31&lt;&gt;TRUE),2,""))</f>
        <v/>
      </c>
      <c r="O17" s="112">
        <f>IF(AND('TABOK ES II'!$AA$32=TRUE,'TABOK ES II'!$AB$32&lt;&gt;TRUE),1,IF(AND('TABOK ES II'!$AB$32=TRUE,'TABOK ES II'!$AA$32&lt;&gt;TRUE),2,""))</f>
        <v/>
      </c>
      <c r="P17" s="112">
        <f>IF(AND('TABOK ES II'!$AA$33=TRUE,'TABOK ES II'!$AB$33&lt;&gt;TRUE),1,IF(AND('TABOK ES II'!$AB$33=TRUE,'TABOK ES II'!$AA$33&lt;&gt;TRUE),2,""))</f>
        <v/>
      </c>
      <c r="Q17" s="112">
        <f>IF(AND('TABOK ES II'!$AA$34=TRUE,'TABOK ES II'!$AB$34&lt;&gt;TRUE),1,IF(AND('TABOK ES II'!$AB$34=TRUE,'TABOK ES II'!$AA$34&lt;&gt;TRUE),2,""))</f>
        <v/>
      </c>
      <c r="R17" s="106">
        <f>IFERROR(ROUND(AVERAGE(K17:Q17),2), "")</f>
        <v/>
      </c>
      <c r="S17" s="107">
        <f>IF(R17="","",VLOOKUP(R17,$CH$14:$CK$17,3))</f>
        <v/>
      </c>
      <c r="T17" s="111">
        <f>IF(AND('TABOK ES II'!$AA$40=TRUE,'TABOK ES II'!$AB$40&lt;&gt;TRUE),1,IF(AND('TABOK ES II'!$AB$40=TRUE,'TABOK ES II'!$AA$40&lt;&gt;TRUE),2,""))</f>
        <v/>
      </c>
      <c r="U17" s="112">
        <f>IF(AND('TABOK ES II'!$AA$41=TRUE,'TABOK ES II'!$AB$41&lt;&gt;TRUE),1,IF(AND('TABOK ES II'!$AB$41=TRUE,'TABOK ES II'!$AA$41&lt;&gt;TRUE),2,""))</f>
        <v/>
      </c>
      <c r="V17" s="112">
        <f>IF(AND('TABOK ES II'!$AA$42=TRUE,'TABOK ES II'!$AB$42&lt;&gt;TRUE),1,IF(AND('TABOK ES II'!$AB$42=TRUE,'TABOK ES II'!$AA$42&lt;&gt;TRUE),2,""))</f>
        <v/>
      </c>
      <c r="W17" s="112">
        <f>IF(AND('TABOK ES II'!$AA$43=TRUE,'TABOK ES II'!$AB$43&lt;&gt;TRUE),1,IF(AND('TABOK ES II'!$AB$43=TRUE,'TABOK ES II'!$AA$43&lt;&gt;TRUE),2,""))</f>
        <v/>
      </c>
      <c r="X17" s="112">
        <f>IF(AND('TABOK ES II'!$AA$44=TRUE,'TABOK ES II'!$AB$44&lt;&gt;TRUE),1,IF(AND('TABOK ES II'!$AB$44=TRUE,'TABOK ES II'!$AA$44&lt;&gt;TRUE),2,""))</f>
        <v/>
      </c>
      <c r="Y17" s="112">
        <f>IF(AND('TABOK ES II'!$AA$45=TRUE,'TABOK ES II'!$AB$45&lt;&gt;TRUE),1,IF(AND('TABOK ES II'!$AB$45=TRUE,'TABOK ES II'!$AA$45&lt;&gt;TRUE),2,""))</f>
        <v/>
      </c>
      <c r="Z17" s="112">
        <f>IF(AND('TABOK ES II'!$AA$46=TRUE,'TABOK ES II'!$AB$46&lt;&gt;TRUE),1,IF(AND('TABOK ES II'!$AB$46=TRUE,'TABOK ES II'!$AA$46&lt;&gt;TRUE),2,""))</f>
        <v/>
      </c>
      <c r="AA17" s="106">
        <f>IFERROR(ROUND(AVERAGE(T17:Z17),2), "")</f>
        <v/>
      </c>
      <c r="AB17" s="107">
        <f>IF(AA17="","",VLOOKUP(AA17,$CH$14:$CK$17,3))</f>
        <v/>
      </c>
      <c r="AC17" s="111">
        <f>IF(AND('TABOK ES II'!$AA$52=TRUE,'TABOK ES II'!$AB$52&lt;&gt;TRUE),1,IF(AND('TABOK ES II'!$AB$52=TRUE,'TABOK ES II'!$AA$52&lt;&gt;TRUE),2,""))</f>
        <v/>
      </c>
      <c r="AD17" s="112">
        <f>IF(AND('TABOK ES II'!$AA$53=TRUE,'TABOK ES II'!$AB$53&lt;&gt;TRUE),1,IF(AND('TABOK ES II'!$AB$53=TRUE,'TABOK ES II'!$AA$53&lt;&gt;TRUE),2,""))</f>
        <v/>
      </c>
      <c r="AE17" s="112">
        <f>IF(AND('TABOK ES II'!$AA$54=TRUE,'TABOK ES II'!$AB$54&lt;&gt;TRUE),1,IF(AND('TABOK ES II'!$AB$54=TRUE,'TABOK ES II'!$AA$54&lt;&gt;TRUE),2,""))</f>
        <v/>
      </c>
      <c r="AF17" s="112">
        <f>IF(AND('TABOK ES II'!$AA$55=TRUE,'TABOK ES II'!$AB$55&lt;&gt;TRUE),1,IF(AND('TABOK ES II'!$AB$55=TRUE,'TABOK ES II'!$AA$55&lt;&gt;TRUE),2,""))</f>
        <v/>
      </c>
      <c r="AG17" s="112">
        <f>IF(AND('TABOK ES II'!$AA$56=TRUE,'TABOK ES II'!$AB$56&lt;&gt;TRUE),1,IF(AND('TABOK ES II'!$AB$56=TRUE,'TABOK ES II'!$AA$56&lt;&gt;TRUE),2,""))</f>
        <v/>
      </c>
      <c r="AH17" s="112">
        <f>IF(AND('TABOK ES II'!$AA$57=TRUE,'TABOK ES II'!$AB$57&lt;&gt;TRUE),1,IF(AND('TABOK ES II'!$AB$57=TRUE,'TABOK ES II'!$AA$57&lt;&gt;TRUE),2,""))</f>
        <v/>
      </c>
      <c r="AI17" s="112" t="n"/>
      <c r="AJ17" s="106">
        <f>IFERROR(ROUND(AVERAGE(AC17:AI17),2), "")</f>
        <v/>
      </c>
      <c r="AK17" s="107">
        <f>IF(AJ17="","",VLOOKUP(AJ17,$CH$14:$CK$17,3))</f>
        <v/>
      </c>
      <c r="AL17" s="111">
        <f>IF(AND('TABOK ES II'!$AA$64=TRUE,'TABOK ES II'!$AB$64&lt;&gt;TRUE),1,IF(AND('TABOK ES II'!$AB$64=TRUE,'TABOK ES II'!$AA$64&lt;&gt;TRUE),2,""))</f>
        <v/>
      </c>
      <c r="AM17" s="112">
        <f>IF(AND('TABOK ES II'!$AA$65=TRUE,'TABOK ES II'!$AB$65&lt;&gt;TRUE),1,IF(AND('TABOK ES II'!$AB$65=TRUE,'TABOK ES II'!$AA$65&lt;&gt;TRUE),2,""))</f>
        <v/>
      </c>
      <c r="AN17" s="112">
        <f>IF(AND('TABOK ES II'!$AA$66=TRUE,'TABOK ES II'!$AB$66&lt;&gt;TRUE),1,IF(AND('TABOK ES II'!$AB$66=TRUE,'TABOK ES II'!$AA$66&lt;&gt;TRUE),2,""))</f>
        <v/>
      </c>
      <c r="AO17" s="112">
        <f>IF(AND('TABOK ES II'!$AA$67=TRUE,'TABOK ES II'!$AB$67&lt;&gt;TRUE),1,IF(AND('TABOK ES II'!$AB$67=TRUE,'TABOK ES II'!$AA$67&lt;&gt;TRUE),2,""))</f>
        <v/>
      </c>
      <c r="AP17" s="112">
        <f>IF(AND('TABOK ES II'!$AA$68=TRUE,'TABOK ES II'!$AB$68&lt;&gt;TRUE),1,IF(AND('TABOK ES II'!$AB$68=TRUE,'TABOK ES II'!$AA$68&lt;&gt;TRUE),2,""))</f>
        <v/>
      </c>
      <c r="AQ17" s="112">
        <f>IF(AND('TABOK ES II'!$AA$69=TRUE,'TABOK ES II'!$AB$69&lt;&gt;TRUE),1,IF(AND('TABOK ES II'!$AB$69=TRUE,'TABOK ES II'!$AA$69&lt;&gt;TRUE),2,""))</f>
        <v/>
      </c>
      <c r="AR17" s="112" t="n"/>
      <c r="AS17" s="106">
        <f>IFERROR(ROUND(AVERAGE(AL17:AR17),2), "")</f>
        <v/>
      </c>
      <c r="AT17" s="107">
        <f>IF(AS17="","",VLOOKUP(AS17,$CH$14:$CK$17,3))</f>
        <v/>
      </c>
      <c r="AV17" s="106">
        <f>COUNTIF(B17:H17,1)+COUNTIF(K17:Q17,1)+COUNTIF(T17:Z17,1)+COUNTIF(AC17:AI17,1)+COUNTIF(AL17:AR17,1)</f>
        <v/>
      </c>
      <c r="AW17" s="106">
        <f>COUNTIF(B17:H17,2)+COUNTIF(K17:Q17,2)+COUNTIF(T17:Z17,2)+COUNTIF(AC17:AI17,2)+COUNTIF(AL17:AR17,2)</f>
        <v/>
      </c>
      <c r="CH17" s="99" t="n">
        <v>1.76</v>
      </c>
      <c r="CI17" s="99" t="n">
        <v>2</v>
      </c>
      <c r="CJ17" s="109" t="inlineStr">
        <is>
          <t>Needs Improvement</t>
        </is>
      </c>
    </row>
    <row r="18" ht="27" customHeight="1" s="145">
      <c r="A18" s="110">
        <f>IF('BAKILID ES'!$B$11="","BAKILID ELEMENTARY SCHOOL",'BAKILID ES'!$B$11)</f>
        <v/>
      </c>
      <c r="B18" s="111">
        <f>IF(AND('BAKILID ES'!$AA$16=TRUE,'BAKILID ES'!$AB$16&lt;&gt;TRUE),1,IF(AND('BAKILID ES'!$AB$16=TRUE,'BAKILID ES'!$AA$16&lt;&gt;TRUE),2,""))</f>
        <v/>
      </c>
      <c r="C18" s="112">
        <f>IF(AND('BAKILID ES'!$AA$17=TRUE,'BAKILID ES'!$AB$17&lt;&gt;TRUE),1,IF(AND('BAKILID ES'!$AB$17=TRUE,'BAKILID ES'!$AA$17&lt;&gt;TRUE),2,""))</f>
        <v/>
      </c>
      <c r="D18" s="112">
        <f>IF(AND('BAKILID ES'!$AA$18=TRUE,'BAKILID ES'!$AB$18&lt;&gt;TRUE),1,IF(AND('BAKILID ES'!$AB$18=TRUE,'BAKILID ES'!$AA$18&lt;&gt;TRUE),2,""))</f>
        <v/>
      </c>
      <c r="E18" s="112">
        <f>IF(AND('BAKILID ES'!$AA$19=TRUE,'BAKILID ES'!$AB$19&lt;&gt;TRUE),1,IF(AND('BAKILID ES'!$AB$19=TRUE,'BAKILID ES'!$AA$19&lt;&gt;TRUE),2,""))</f>
        <v/>
      </c>
      <c r="F18" s="112">
        <f>IF(AND('BAKILID ES'!$AA$20=TRUE,'BAKILID ES'!$AB$20&lt;&gt;TRUE),1,IF(AND('BAKILID ES'!$AB$20=TRUE,'BAKILID ES'!$AA$20&lt;&gt;TRUE),2,""))</f>
        <v/>
      </c>
      <c r="G18" s="112">
        <f>IF(AND('BAKILID ES'!$AA$21=TRUE,'BAKILID ES'!$AB$21&lt;&gt;TRUE),1,IF(AND('BAKILID ES'!$AB$21=TRUE,'BAKILID ES'!$AA$21&lt;&gt;TRUE),2,""))</f>
        <v/>
      </c>
      <c r="H18" s="112" t="n"/>
      <c r="I18" s="106">
        <f>IFERROR(ROUND(AVERAGE(B18:H18),2), "")</f>
        <v/>
      </c>
      <c r="J18" s="107">
        <f>IF(I18="","",VLOOKUP(I18,$CH$14:$CK$17,3))</f>
        <v/>
      </c>
      <c r="K18" s="111">
        <f>IF(AND('BAKILID ES'!$AA$28=TRUE,'BAKILID ES'!$AB$28&lt;&gt;TRUE),1,IF(AND('BAKILID ES'!$AB$28=TRUE,'BAKILID ES'!$AA$28&lt;&gt;TRUE),2,""))</f>
        <v/>
      </c>
      <c r="L18" s="112">
        <f>IF(AND('BAKILID ES'!$AA$29=TRUE,'BAKILID ES'!$AB$29&lt;&gt;TRUE),1,IF(AND('BAKILID ES'!$AB$29=TRUE,'BAKILID ES'!$AA$29&lt;&gt;TRUE),2,""))</f>
        <v/>
      </c>
      <c r="M18" s="112">
        <f>IF(AND('BAKILID ES'!$AA$30=TRUE,'BAKILID ES'!$AB$30&lt;&gt;TRUE),1,IF(AND('BAKILID ES'!$AB$30=TRUE,'BAKILID ES'!$AA$30&lt;&gt;TRUE),2,""))</f>
        <v/>
      </c>
      <c r="N18" s="112">
        <f>IF(AND('BAKILID ES'!$AA$31=TRUE,'BAKILID ES'!$AB$31&lt;&gt;TRUE),1,IF(AND('BAKILID ES'!$AB$31=TRUE,'BAKILID ES'!$AA$31&lt;&gt;TRUE),2,""))</f>
        <v/>
      </c>
      <c r="O18" s="112">
        <f>IF(AND('BAKILID ES'!$AA$32=TRUE,'BAKILID ES'!$AB$32&lt;&gt;TRUE),1,IF(AND('BAKILID ES'!$AB$32=TRUE,'BAKILID ES'!$AA$32&lt;&gt;TRUE),2,""))</f>
        <v/>
      </c>
      <c r="P18" s="112">
        <f>IF(AND('BAKILID ES'!$AA$33=TRUE,'BAKILID ES'!$AB$33&lt;&gt;TRUE),1,IF(AND('BAKILID ES'!$AB$33=TRUE,'BAKILID ES'!$AA$33&lt;&gt;TRUE),2,""))</f>
        <v/>
      </c>
      <c r="Q18" s="112">
        <f>IF(AND('BAKILID ES'!$AA$34=TRUE,'BAKILID ES'!$AB$34&lt;&gt;TRUE),1,IF(AND('BAKILID ES'!$AB$34=TRUE,'BAKILID ES'!$AA$34&lt;&gt;TRUE),2,""))</f>
        <v/>
      </c>
      <c r="R18" s="106">
        <f>IFERROR(ROUND(AVERAGE(K18:Q18),2), "")</f>
        <v/>
      </c>
      <c r="S18" s="107">
        <f>IF(R18="","",VLOOKUP(R18,$CH$14:$CK$17,3))</f>
        <v/>
      </c>
      <c r="T18" s="111">
        <f>IF(AND('BAKILID ES'!$AA$40=TRUE,'BAKILID ES'!$AB$40&lt;&gt;TRUE),1,IF(AND('BAKILID ES'!$AB$40=TRUE,'BAKILID ES'!$AA$40&lt;&gt;TRUE),2,""))</f>
        <v/>
      </c>
      <c r="U18" s="112">
        <f>IF(AND('BAKILID ES'!$AA$41=TRUE,'BAKILID ES'!$AB$41&lt;&gt;TRUE),1,IF(AND('BAKILID ES'!$AB$41=TRUE,'BAKILID ES'!$AA$41&lt;&gt;TRUE),2,""))</f>
        <v/>
      </c>
      <c r="V18" s="112">
        <f>IF(AND('BAKILID ES'!$AA$42=TRUE,'BAKILID ES'!$AB$42&lt;&gt;TRUE),1,IF(AND('BAKILID ES'!$AB$42=TRUE,'BAKILID ES'!$AA$42&lt;&gt;TRUE),2,""))</f>
        <v/>
      </c>
      <c r="W18" s="112">
        <f>IF(AND('BAKILID ES'!$AA$43=TRUE,'BAKILID ES'!$AB$43&lt;&gt;TRUE),1,IF(AND('BAKILID ES'!$AB$43=TRUE,'BAKILID ES'!$AA$43&lt;&gt;TRUE),2,""))</f>
        <v/>
      </c>
      <c r="X18" s="112">
        <f>IF(AND('BAKILID ES'!$AA$44=TRUE,'BAKILID ES'!$AB$44&lt;&gt;TRUE),1,IF(AND('BAKILID ES'!$AB$44=TRUE,'BAKILID ES'!$AA$44&lt;&gt;TRUE),2,""))</f>
        <v/>
      </c>
      <c r="Y18" s="112">
        <f>IF(AND('BAKILID ES'!$AA$45=TRUE,'BAKILID ES'!$AB$45&lt;&gt;TRUE),1,IF(AND('BAKILID ES'!$AB$45=TRUE,'BAKILID ES'!$AA$45&lt;&gt;TRUE),2,""))</f>
        <v/>
      </c>
      <c r="Z18" s="112">
        <f>IF(AND('BAKILID ES'!$AA$46=TRUE,'BAKILID ES'!$AB$46&lt;&gt;TRUE),1,IF(AND('BAKILID ES'!$AB$46=TRUE,'BAKILID ES'!$AA$46&lt;&gt;TRUE),2,""))</f>
        <v/>
      </c>
      <c r="AA18" s="106">
        <f>IFERROR(ROUND(AVERAGE(T18:Z18),2), "")</f>
        <v/>
      </c>
      <c r="AB18" s="107">
        <f>IF(AA18="","",VLOOKUP(AA18,$CH$14:$CK$17,3))</f>
        <v/>
      </c>
      <c r="AC18" s="111">
        <f>IF(AND('BAKILID ES'!$AA$52=TRUE,'BAKILID ES'!$AB$52&lt;&gt;TRUE),1,IF(AND('BAKILID ES'!$AB$52=TRUE,'BAKILID ES'!$AA$52&lt;&gt;TRUE),2,""))</f>
        <v/>
      </c>
      <c r="AD18" s="112">
        <f>IF(AND('BAKILID ES'!$AA$53=TRUE,'BAKILID ES'!$AB$53&lt;&gt;TRUE),1,IF(AND('BAKILID ES'!$AB$53=TRUE,'BAKILID ES'!$AA$53&lt;&gt;TRUE),2,""))</f>
        <v/>
      </c>
      <c r="AE18" s="112">
        <f>IF(AND('BAKILID ES'!$AA$54=TRUE,'BAKILID ES'!$AB$54&lt;&gt;TRUE),1,IF(AND('BAKILID ES'!$AB$54=TRUE,'BAKILID ES'!$AA$54&lt;&gt;TRUE),2,""))</f>
        <v/>
      </c>
      <c r="AF18" s="112">
        <f>IF(AND('BAKILID ES'!$AA$55=TRUE,'BAKILID ES'!$AB$55&lt;&gt;TRUE),1,IF(AND('BAKILID ES'!$AB$55=TRUE,'BAKILID ES'!$AA$55&lt;&gt;TRUE),2,""))</f>
        <v/>
      </c>
      <c r="AG18" s="112">
        <f>IF(AND('BAKILID ES'!$AA$56=TRUE,'BAKILID ES'!$AB$56&lt;&gt;TRUE),1,IF(AND('BAKILID ES'!$AB$56=TRUE,'BAKILID ES'!$AA$56&lt;&gt;TRUE),2,""))</f>
        <v/>
      </c>
      <c r="AH18" s="112">
        <f>IF(AND('BAKILID ES'!$AA$57=TRUE,'BAKILID ES'!$AB$57&lt;&gt;TRUE),1,IF(AND('BAKILID ES'!$AB$57=TRUE,'BAKILID ES'!$AA$57&lt;&gt;TRUE),2,""))</f>
        <v/>
      </c>
      <c r="AI18" s="112" t="n"/>
      <c r="AJ18" s="106">
        <f>IFERROR(ROUND(AVERAGE(AC18:AI18),2), "")</f>
        <v/>
      </c>
      <c r="AK18" s="107">
        <f>IF(AJ18="","",VLOOKUP(AJ18,$CH$14:$CK$17,3))</f>
        <v/>
      </c>
      <c r="AL18" s="111">
        <f>IF(AND('BAKILID ES'!$AA$64=TRUE,'BAKILID ES'!$AB$64&lt;&gt;TRUE),1,IF(AND('BAKILID ES'!$AB$64=TRUE,'BAKILID ES'!$AA$64&lt;&gt;TRUE),2,""))</f>
        <v/>
      </c>
      <c r="AM18" s="112">
        <f>IF(AND('BAKILID ES'!$AA$65=TRUE,'BAKILID ES'!$AB$65&lt;&gt;TRUE),1,IF(AND('BAKILID ES'!$AB$65=TRUE,'BAKILID ES'!$AA$65&lt;&gt;TRUE),2,""))</f>
        <v/>
      </c>
      <c r="AN18" s="112">
        <f>IF(AND('BAKILID ES'!$AA$66=TRUE,'BAKILID ES'!$AB$66&lt;&gt;TRUE),1,IF(AND('BAKILID ES'!$AB$66=TRUE,'BAKILID ES'!$AA$66&lt;&gt;TRUE),2,""))</f>
        <v/>
      </c>
      <c r="AO18" s="112">
        <f>IF(AND('BAKILID ES'!$AA$67=TRUE,'BAKILID ES'!$AB$67&lt;&gt;TRUE),1,IF(AND('BAKILID ES'!$AB$67=TRUE,'BAKILID ES'!$AA$67&lt;&gt;TRUE),2,""))</f>
        <v/>
      </c>
      <c r="AP18" s="112">
        <f>IF(AND('BAKILID ES'!$AA$68=TRUE,'BAKILID ES'!$AB$68&lt;&gt;TRUE),1,IF(AND('BAKILID ES'!$AB$68=TRUE,'BAKILID ES'!$AA$68&lt;&gt;TRUE),2,""))</f>
        <v/>
      </c>
      <c r="AQ18" s="112">
        <f>IF(AND('BAKILID ES'!$AA$69=TRUE,'BAKILID ES'!$AB$69&lt;&gt;TRUE),1,IF(AND('BAKILID ES'!$AB$69=TRUE,'BAKILID ES'!$AA$69&lt;&gt;TRUE),2,""))</f>
        <v/>
      </c>
      <c r="AR18" s="112" t="n"/>
      <c r="AS18" s="106">
        <f>IFERROR(ROUND(AVERAGE(AL18:AR18),2), "")</f>
        <v/>
      </c>
      <c r="AT18" s="107">
        <f>IF(AS18="","",VLOOKUP(AS18,$CH$14:$CK$17,3))</f>
        <v/>
      </c>
      <c r="AV18" s="106">
        <f>COUNTIF(B18:H18,1)+COUNTIF(K18:Q18,1)+COUNTIF(T18:Z18,1)+COUNTIF(AC18:AI18,1)+COUNTIF(AL18:AR18,1)</f>
        <v/>
      </c>
      <c r="AW18" s="106">
        <f>COUNTIF(B18:H18,2)+COUNTIF(K18:Q18,2)+COUNTIF(T18:Z18,2)+COUNTIF(AC18:AI18,2)+COUNTIF(AL18:AR18,2)</f>
        <v/>
      </c>
    </row>
    <row r="19" ht="27" customHeight="1" s="145">
      <c r="A19" s="113">
        <f>IF('TINGUB ES'!$B$11="","TINGUB ELEMENTARY SCHOOL",'TINGUB ES'!$B$11)</f>
        <v/>
      </c>
      <c r="B19" s="114">
        <f>IF(AND('TINGUB ES'!$AA$16=TRUE,'TINGUB ES'!$AB$16&lt;&gt;TRUE),1,IF(AND('TINGUB ES'!$AB$16=TRUE,'TINGUB ES'!$AA$16&lt;&gt;TRUE),2,""))</f>
        <v/>
      </c>
      <c r="C19" s="115">
        <f>IF(AND('TINGUB ES'!$AA$17=TRUE,'TINGUB ES'!$AB$17&lt;&gt;TRUE),1,IF(AND('TINGUB ES'!$AB$17=TRUE,'TINGUB ES'!$AA$17&lt;&gt;TRUE),2,""))</f>
        <v/>
      </c>
      <c r="D19" s="115">
        <f>IF(AND('TINGUB ES'!$AA$18=TRUE,'TINGUB ES'!$AB$18&lt;&gt;TRUE),1,IF(AND('TINGUB ES'!$AB$18=TRUE,'TINGUB ES'!$AA$18&lt;&gt;TRUE),2,""))</f>
        <v/>
      </c>
      <c r="E19" s="115">
        <f>IF(AND('TINGUB ES'!$AA$19=TRUE,'TINGUB ES'!$AB$19&lt;&gt;TRUE),1,IF(AND('TINGUB ES'!$AB$19=TRUE,'TINGUB ES'!$AA$19&lt;&gt;TRUE),2,""))</f>
        <v/>
      </c>
      <c r="F19" s="115">
        <f>IF(AND('TINGUB ES'!$AA$20=TRUE,'TINGUB ES'!$AB$20&lt;&gt;TRUE),1,IF(AND('TINGUB ES'!$AB$20=TRUE,'TINGUB ES'!$AA$20&lt;&gt;TRUE),2,""))</f>
        <v/>
      </c>
      <c r="G19" s="115">
        <f>IF(AND('TINGUB ES'!$AA$21=TRUE,'TINGUB ES'!$AB$21&lt;&gt;TRUE),1,IF(AND('TINGUB ES'!$AB$21=TRUE,'TINGUB ES'!$AA$21&lt;&gt;TRUE),2,""))</f>
        <v/>
      </c>
      <c r="H19" s="115" t="n"/>
      <c r="I19" s="106">
        <f>IFERROR(ROUND(AVERAGE(B19:H19),2), "")</f>
        <v/>
      </c>
      <c r="J19" s="116">
        <f>IF(I19="","",VLOOKUP(I19,$CH$14:$CK$17,3))</f>
        <v/>
      </c>
      <c r="K19" s="114">
        <f>IF(AND('TINGUB ES'!$AA$28=TRUE,'TINGUB ES'!$AB$28&lt;&gt;TRUE),1,IF(AND('TINGUB ES'!$AB$28=TRUE,'TINGUB ES'!$AA$28&lt;&gt;TRUE),2,""))</f>
        <v/>
      </c>
      <c r="L19" s="115">
        <f>IF(AND('TINGUB ES'!$AA$29=TRUE,'TINGUB ES'!$AB$29&lt;&gt;TRUE),1,IF(AND('TINGUB ES'!$AB$29=TRUE,'TINGUB ES'!$AA$29&lt;&gt;TRUE),2,""))</f>
        <v/>
      </c>
      <c r="M19" s="115">
        <f>IF(AND('TINGUB ES'!$AA$30=TRUE,'TINGUB ES'!$AB$30&lt;&gt;TRUE),1,IF(AND('TINGUB ES'!$AB$30=TRUE,'TINGUB ES'!$AA$30&lt;&gt;TRUE),2,""))</f>
        <v/>
      </c>
      <c r="N19" s="115">
        <f>IF(AND('TINGUB ES'!$AA$31=TRUE,'TINGUB ES'!$AB$31&lt;&gt;TRUE),1,IF(AND('TINGUB ES'!$AB$31=TRUE,'TINGUB ES'!$AA$31&lt;&gt;TRUE),2,""))</f>
        <v/>
      </c>
      <c r="O19" s="115">
        <f>IF(AND('TINGUB ES'!$AA$32=TRUE,'TINGUB ES'!$AB$32&lt;&gt;TRUE),1,IF(AND('TINGUB ES'!$AB$32=TRUE,'TINGUB ES'!$AA$32&lt;&gt;TRUE),2,""))</f>
        <v/>
      </c>
      <c r="P19" s="115">
        <f>IF(AND('TINGUB ES'!$AA$33=TRUE,'TINGUB ES'!$AB$33&lt;&gt;TRUE),1,IF(AND('TINGUB ES'!$AB$33=TRUE,'TINGUB ES'!$AA$33&lt;&gt;TRUE),2,""))</f>
        <v/>
      </c>
      <c r="Q19" s="115">
        <f>IF(AND('TINGUB ES'!$AA$34=TRUE,'TINGUB ES'!$AB$34&lt;&gt;TRUE),1,IF(AND('TINGUB ES'!$AB$34=TRUE,'TINGUB ES'!$AA$34&lt;&gt;TRUE),2,""))</f>
        <v/>
      </c>
      <c r="R19" s="106">
        <f>IFERROR(ROUND(AVERAGE(K19:Q19),2), "")</f>
        <v/>
      </c>
      <c r="S19" s="116">
        <f>IF(R19="","",VLOOKUP(R19,$CH$14:$CK$17,3))</f>
        <v/>
      </c>
      <c r="T19" s="114">
        <f>IF(AND('TINGUB ES'!$AA$40=TRUE,'TINGUB ES'!$AB$40&lt;&gt;TRUE),1,IF(AND('TINGUB ES'!$AB$40=TRUE,'TINGUB ES'!$AA$40&lt;&gt;TRUE),2,""))</f>
        <v/>
      </c>
      <c r="U19" s="115">
        <f>IF(AND('TINGUB ES'!$AA$41=TRUE,'TINGUB ES'!$AB$41&lt;&gt;TRUE),1,IF(AND('TINGUB ES'!$AB$41=TRUE,'TINGUB ES'!$AA$41&lt;&gt;TRUE),2,""))</f>
        <v/>
      </c>
      <c r="V19" s="115">
        <f>IF(AND('TINGUB ES'!$AA$42=TRUE,'TINGUB ES'!$AB$42&lt;&gt;TRUE),1,IF(AND('TINGUB ES'!$AB$42=TRUE,'TINGUB ES'!$AA$42&lt;&gt;TRUE),2,""))</f>
        <v/>
      </c>
      <c r="W19" s="115">
        <f>IF(AND('TINGUB ES'!$AA$43=TRUE,'TINGUB ES'!$AB$43&lt;&gt;TRUE),1,IF(AND('TINGUB ES'!$AB$43=TRUE,'TINGUB ES'!$AA$43&lt;&gt;TRUE),2,""))</f>
        <v/>
      </c>
      <c r="X19" s="115">
        <f>IF(AND('TINGUB ES'!$AA$44=TRUE,'TINGUB ES'!$AB$44&lt;&gt;TRUE),1,IF(AND('TINGUB ES'!$AB$44=TRUE,'TINGUB ES'!$AA$44&lt;&gt;TRUE),2,""))</f>
        <v/>
      </c>
      <c r="Y19" s="115">
        <f>IF(AND('TINGUB ES'!$AA$45=TRUE,'TINGUB ES'!$AB$45&lt;&gt;TRUE),1,IF(AND('TINGUB ES'!$AB$45=TRUE,'TINGUB ES'!$AA$45&lt;&gt;TRUE),2,""))</f>
        <v/>
      </c>
      <c r="Z19" s="115">
        <f>IF(AND('TINGUB ES'!$AA$46=TRUE,'TINGUB ES'!$AB$46&lt;&gt;TRUE),1,IF(AND('TINGUB ES'!$AB$46=TRUE,'TINGUB ES'!$AA$46&lt;&gt;TRUE),2,""))</f>
        <v/>
      </c>
      <c r="AA19" s="106">
        <f>IFERROR(ROUND(AVERAGE(T19:Z19),2), "")</f>
        <v/>
      </c>
      <c r="AB19" s="116">
        <f>IF(AA19="","",VLOOKUP(AA19,$CH$14:$CK$17,3))</f>
        <v/>
      </c>
      <c r="AC19" s="114">
        <f>IF(AND('TINGUB ES'!$AA$52=TRUE,'TINGUB ES'!$AB$52&lt;&gt;TRUE),1,IF(AND('TINGUB ES'!$AB$52=TRUE,'TINGUB ES'!$AA$52&lt;&gt;TRUE),2,""))</f>
        <v/>
      </c>
      <c r="AD19" s="115">
        <f>IF(AND('TINGUB ES'!$AA$53=TRUE,'TINGUB ES'!$AB$53&lt;&gt;TRUE),1,IF(AND('TINGUB ES'!$AB$53=TRUE,'TINGUB ES'!$AA$53&lt;&gt;TRUE),2,""))</f>
        <v/>
      </c>
      <c r="AE19" s="115">
        <f>IF(AND('TINGUB ES'!$AA$54=TRUE,'TINGUB ES'!$AB$54&lt;&gt;TRUE),1,IF(AND('TINGUB ES'!$AB$54=TRUE,'TINGUB ES'!$AA$54&lt;&gt;TRUE),2,""))</f>
        <v/>
      </c>
      <c r="AF19" s="115">
        <f>IF(AND('TINGUB ES'!$AA$55=TRUE,'TINGUB ES'!$AB$55&lt;&gt;TRUE),1,IF(AND('TINGUB ES'!$AB$55=TRUE,'TINGUB ES'!$AA$55&lt;&gt;TRUE),2,""))</f>
        <v/>
      </c>
      <c r="AG19" s="115">
        <f>IF(AND('TINGUB ES'!$AA$56=TRUE,'TINGUB ES'!$AB$56&lt;&gt;TRUE),1,IF(AND('TINGUB ES'!$AB$56=TRUE,'TINGUB ES'!$AA$56&lt;&gt;TRUE),2,""))</f>
        <v/>
      </c>
      <c r="AH19" s="115">
        <f>IF(AND('TINGUB ES'!$AA$57=TRUE,'TINGUB ES'!$AB$57&lt;&gt;TRUE),1,IF(AND('TINGUB ES'!$AB$57=TRUE,'TINGUB ES'!$AA$57&lt;&gt;TRUE),2,""))</f>
        <v/>
      </c>
      <c r="AI19" s="115" t="n"/>
      <c r="AJ19" s="106">
        <f>IFERROR(ROUND(AVERAGE(AC19:AI19),2), "")</f>
        <v/>
      </c>
      <c r="AK19" s="116">
        <f>IF(AJ19="","",VLOOKUP(AJ19,$CH$14:$CK$17,3))</f>
        <v/>
      </c>
      <c r="AL19" s="114">
        <f>IF(AND('TINGUB ES'!$AA$64=TRUE,'TINGUB ES'!$AB$64&lt;&gt;TRUE),1,IF(AND('TINGUB ES'!$AB$64=TRUE,'TINGUB ES'!$AA$64&lt;&gt;TRUE),2,""))</f>
        <v/>
      </c>
      <c r="AM19" s="115">
        <f>IF(AND('TINGUB ES'!$AA$65=TRUE,'TINGUB ES'!$AB$65&lt;&gt;TRUE),1,IF(AND('TINGUB ES'!$AB$65=TRUE,'TINGUB ES'!$AA$65&lt;&gt;TRUE),2,""))</f>
        <v/>
      </c>
      <c r="AN19" s="115">
        <f>IF(AND('TINGUB ES'!$AA$66=TRUE,'TINGUB ES'!$AB$66&lt;&gt;TRUE),1,IF(AND('TINGUB ES'!$AB$66=TRUE,'TINGUB ES'!$AA$66&lt;&gt;TRUE),2,""))</f>
        <v/>
      </c>
      <c r="AO19" s="115">
        <f>IF(AND('TINGUB ES'!$AA$67=TRUE,'TINGUB ES'!$AB$67&lt;&gt;TRUE),1,IF(AND('TINGUB ES'!$AB$67=TRUE,'TINGUB ES'!$AA$67&lt;&gt;TRUE),2,""))</f>
        <v/>
      </c>
      <c r="AP19" s="115">
        <f>IF(AND('TINGUB ES'!$AA$68=TRUE,'TINGUB ES'!$AB$68&lt;&gt;TRUE),1,IF(AND('TINGUB ES'!$AB$68=TRUE,'TINGUB ES'!$AA$68&lt;&gt;TRUE),2,""))</f>
        <v/>
      </c>
      <c r="AQ19" s="115">
        <f>IF(AND('TINGUB ES'!$AA$69=TRUE,'TINGUB ES'!$AB$69&lt;&gt;TRUE),1,IF(AND('TINGUB ES'!$AB$69=TRUE,'TINGUB ES'!$AA$69&lt;&gt;TRUE),2,""))</f>
        <v/>
      </c>
      <c r="AR19" s="115" t="n"/>
      <c r="AS19" s="106">
        <f>IFERROR(ROUND(AVERAGE(AL19:AR19),2), "")</f>
        <v/>
      </c>
      <c r="AT19" s="116">
        <f>IF(AS19="","",VLOOKUP(AS19,$CH$14:$CK$17,3))</f>
        <v/>
      </c>
      <c r="AV19" s="106">
        <f>COUNTIF(B19:H19,1)+COUNTIF(K19:Q19,1)+COUNTIF(T19:Z19,1)+COUNTIF(AC19:AI19,1)+COUNTIF(AL19:AR19,1)</f>
        <v/>
      </c>
      <c r="AW19" s="106">
        <f>COUNTIF(B19:H19,2)+COUNTIF(K19:Q19,2)+COUNTIF(T19:Z19,2)+COUNTIF(AC19:AI19,2)+COUNTIF(AL19:AR19,2)</f>
        <v/>
      </c>
    </row>
    <row r="20" ht="27" customHeight="1" s="145">
      <c r="A20" s="118" t="inlineStr">
        <is>
          <t>WEIGHTED MEAN</t>
        </is>
      </c>
      <c r="B20" s="119">
        <f>IFERROR(ROUND(AVERAGE(B14:B19),2), "")</f>
        <v/>
      </c>
      <c r="C20" s="120">
        <f>IFERROR(ROUND(AVERAGE(C14:C19),2), "")</f>
        <v/>
      </c>
      <c r="D20" s="120">
        <f>IFERROR(ROUND(AVERAGE(D14:D19),2), "")</f>
        <v/>
      </c>
      <c r="E20" s="120">
        <f>IFERROR(ROUND(AVERAGE(E14:E19),2), "")</f>
        <v/>
      </c>
      <c r="F20" s="120">
        <f>IFERROR(ROUND(AVERAGE(F14:F19),2), "")</f>
        <v/>
      </c>
      <c r="G20" s="120">
        <f>IFERROR(ROUND(AVERAGE(G14:G19),2), "")</f>
        <v/>
      </c>
      <c r="H20" s="120">
        <f>IFERROR(ROUND(AVERAGE(H14:H19),2), "")</f>
        <v/>
      </c>
      <c r="I20" s="122">
        <f>IFERROR(ROUND(AVERAGE(I14:I19),2), "")</f>
        <v/>
      </c>
      <c r="J20" s="123">
        <f>IF(I20="","",VLOOKUP(I20,$CH$14:$CK$17,3))</f>
        <v/>
      </c>
      <c r="K20" s="119">
        <f>IFERROR(ROUND(AVERAGE(K14:K19),2), "")</f>
        <v/>
      </c>
      <c r="L20" s="120">
        <f>IFERROR(ROUND(AVERAGE(L14:L19),2), "")</f>
        <v/>
      </c>
      <c r="M20" s="120">
        <f>IFERROR(ROUND(AVERAGE(M14:M19),2), "")</f>
        <v/>
      </c>
      <c r="N20" s="120">
        <f>IFERROR(ROUND(AVERAGE(N14:N19),2), "")</f>
        <v/>
      </c>
      <c r="O20" s="120">
        <f>IFERROR(ROUND(AVERAGE(O14:O19),2), "")</f>
        <v/>
      </c>
      <c r="P20" s="120">
        <f>IFERROR(ROUND(AVERAGE(P14:P19),2), "")</f>
        <v/>
      </c>
      <c r="Q20" s="120">
        <f>IFERROR(ROUND(AVERAGE(Q14:Q19),2), "")</f>
        <v/>
      </c>
      <c r="R20" s="122">
        <f>IFERROR(ROUND(AVERAGE(R14:R19),2), "")</f>
        <v/>
      </c>
      <c r="S20" s="123">
        <f>IF(R20="","",VLOOKUP(R20,$CH$14:$CK$17,3))</f>
        <v/>
      </c>
      <c r="T20" s="119">
        <f>IFERROR(ROUND(AVERAGE(T14:T19),2), "")</f>
        <v/>
      </c>
      <c r="U20" s="120">
        <f>IFERROR(ROUND(AVERAGE(U14:U19),2), "")</f>
        <v/>
      </c>
      <c r="V20" s="120">
        <f>IFERROR(ROUND(AVERAGE(V14:V19),2), "")</f>
        <v/>
      </c>
      <c r="W20" s="120">
        <f>IFERROR(ROUND(AVERAGE(W14:W19),2), "")</f>
        <v/>
      </c>
      <c r="X20" s="120">
        <f>IFERROR(ROUND(AVERAGE(X14:X19),2), "")</f>
        <v/>
      </c>
      <c r="Y20" s="120">
        <f>IFERROR(ROUND(AVERAGE(Y14:Y19),2), "")</f>
        <v/>
      </c>
      <c r="Z20" s="120">
        <f>IFERROR(ROUND(AVERAGE(Z14:Z19),2), "")</f>
        <v/>
      </c>
      <c r="AA20" s="122">
        <f>IFERROR(ROUND(AVERAGE(AA14:AA19),2), "")</f>
        <v/>
      </c>
      <c r="AB20" s="123">
        <f>IF(AA20="","",VLOOKUP(AA20,$CH$14:$CK$17,3))</f>
        <v/>
      </c>
      <c r="AC20" s="119">
        <f>IFERROR(ROUND(AVERAGE(AC14:AC19),2), "")</f>
        <v/>
      </c>
      <c r="AD20" s="120">
        <f>IFERROR(ROUND(AVERAGE(AD14:AD19),2), "")</f>
        <v/>
      </c>
      <c r="AE20" s="120">
        <f>IFERROR(ROUND(AVERAGE(AE14:AE19),2), "")</f>
        <v/>
      </c>
      <c r="AF20" s="120">
        <f>IFERROR(ROUND(AVERAGE(AF14:AF19),2), "")</f>
        <v/>
      </c>
      <c r="AG20" s="120">
        <f>IFERROR(ROUND(AVERAGE(AG14:AG19),2), "")</f>
        <v/>
      </c>
      <c r="AH20" s="120">
        <f>IFERROR(ROUND(AVERAGE(AH14:AH19),2), "")</f>
        <v/>
      </c>
      <c r="AI20" s="120">
        <f>IFERROR(ROUND(AVERAGE(AI14:AI19),2), "")</f>
        <v/>
      </c>
      <c r="AJ20" s="122">
        <f>IFERROR(ROUND(AVERAGE(AJ14:AJ19),2), "")</f>
        <v/>
      </c>
      <c r="AK20" s="123">
        <f>IF(AJ20="","",VLOOKUP(AJ20,$CH$14:$CK$17,3))</f>
        <v/>
      </c>
      <c r="AL20" s="119">
        <f>IFERROR(ROUND(AVERAGE(AL14:AL19),2), "")</f>
        <v/>
      </c>
      <c r="AM20" s="120">
        <f>IFERROR(ROUND(AVERAGE(AM14:AM19),2), "")</f>
        <v/>
      </c>
      <c r="AN20" s="120">
        <f>IFERROR(ROUND(AVERAGE(AN14:AN19),2), "")</f>
        <v/>
      </c>
      <c r="AO20" s="120">
        <f>IFERROR(ROUND(AVERAGE(AO14:AO19),2), "")</f>
        <v/>
      </c>
      <c r="AP20" s="120">
        <f>IFERROR(ROUND(AVERAGE(AP14:AP19),2), "")</f>
        <v/>
      </c>
      <c r="AQ20" s="120">
        <f>IFERROR(ROUND(AVERAGE(AQ14:AQ19),2), "")</f>
        <v/>
      </c>
      <c r="AR20" s="120">
        <f>IFERROR(ROUND(AVERAGE(AR14:AR19),2), "")</f>
        <v/>
      </c>
      <c r="AS20" s="122">
        <f>IFERROR(ROUND(AVERAGE(AS14:AS19),2), "")</f>
        <v/>
      </c>
      <c r="AT20" s="123">
        <f>IF(AS20="","",VLOOKUP(AS20,$CH$14:$CK$17,3))</f>
        <v/>
      </c>
      <c r="AV20" s="122">
        <f>SUM(AV14:AV19)</f>
        <v/>
      </c>
      <c r="AW20" s="122">
        <f>SUM(AW14:AW19)</f>
        <v/>
      </c>
    </row>
    <row r="22">
      <c r="A22" s="75" t="inlineStr">
        <is>
          <t>Prepared by:</t>
        </is>
      </c>
      <c r="B22" s="75" t="n"/>
    </row>
    <row r="23"/>
    <row r="24" ht="13.8" customHeight="1" s="145">
      <c r="A24" s="130" t="inlineStr">
        <is>
          <t>NAME OF PSDS</t>
        </is>
      </c>
      <c r="B24" s="152" t="n"/>
      <c r="C24" s="152" t="n"/>
      <c r="D24" s="152" t="n"/>
    </row>
    <row r="25">
      <c r="A25" s="131" t="inlineStr">
        <is>
          <t>PSDS, West 1 Secondary</t>
        </is>
      </c>
      <c r="B25" s="152" t="n"/>
      <c r="C25" s="152" t="n"/>
      <c r="D25" s="152" t="n"/>
    </row>
    <row r="28" ht="13.8" customHeight="1" s="145"/>
  </sheetData>
  <mergeCells count="25">
    <mergeCell ref="A6:AA6"/>
    <mergeCell ref="AB12:AB13"/>
    <mergeCell ref="AS12:AS13"/>
    <mergeCell ref="A12:A13"/>
    <mergeCell ref="R12:R13"/>
    <mergeCell ref="I12:I13"/>
    <mergeCell ref="A24:D24"/>
    <mergeCell ref="A5:AA5"/>
    <mergeCell ref="A8:AA8"/>
    <mergeCell ref="AC12:AI12"/>
    <mergeCell ref="B12:H12"/>
    <mergeCell ref="J12:J13"/>
    <mergeCell ref="AA12:AA13"/>
    <mergeCell ref="A10:AA10"/>
    <mergeCell ref="A7:D7"/>
    <mergeCell ref="A25:D25"/>
    <mergeCell ref="AW12:AW13"/>
    <mergeCell ref="AJ12:AJ13"/>
    <mergeCell ref="T12:Z12"/>
    <mergeCell ref="AL12:AR12"/>
    <mergeCell ref="K12:Q12"/>
    <mergeCell ref="AT12:AT13"/>
    <mergeCell ref="S12:S13"/>
    <mergeCell ref="AV12:AV13"/>
    <mergeCell ref="AK12:AK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TABOK ES I</vt:lpstr>
      <vt:lpstr>TABOK ES II</vt:lpstr>
      <vt:lpstr>MAGUIKAY ES</vt:lpstr>
      <vt:lpstr>CABANCALAN I ES</vt:lpstr>
      <vt:lpstr>BAKILID ES</vt:lpstr>
      <vt:lpstr>TINGUB ES</vt:lpstr>
      <vt:lpstr>'BAKILID ES'!Print_Area</vt:lpstr>
      <vt:lpstr>'CABANCALAN I ES'!Print_Area</vt:lpstr>
      <vt:lpstr>'MAGUIKAY ES'!Print_Area</vt:lpstr>
      <vt:lpstr>'TABOK ES I'!Print_Area</vt:lpstr>
      <vt:lpstr>'TABOK ES II'!Print_Area</vt:lpstr>
      <vt:lpstr>'TINGUB 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MARY JEAN CODINERA</cp:lastModifiedBy>
  <cp:lastPrinted>2026-05-18T23:54:54Z</cp:lastPrinted>
  <dcterms:created xsi:type="dcterms:W3CDTF">2026-05-13T23:30:51Z</dcterms:created>
  <dcterms:modified xsi:type="dcterms:W3CDTF">2026-10-27T07:31:58Z</dcterms:modified>
</cp:coreProperties>
</file>